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4.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xl/comments4.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ADME" sheetId="1" state="visible" r:id="rId3"/>
    <sheet name="Analyse" sheetId="2" state="visible" r:id="rId4"/>
    <sheet name="Parameters" sheetId="3" state="visible" r:id="rId5"/>
    <sheet name="Inputs" sheetId="4" state="visible" r:id="rId6"/>
    <sheet name="Portfolio" sheetId="5" state="visible" r:id="rId7"/>
    <sheet name="Sensitivity" sheetId="6" state="visible" r:id="rId8"/>
    <sheet name="Case_View" sheetId="7" state="visible" r:id="rId9"/>
    <sheet name="Scenarios" sheetId="8" state="visible" r:id="rId10"/>
    <sheet name="Candidates" sheetId="9" state="visible" r:id="rId11"/>
    <sheet name="KRIs" sheetId="10" state="visible" r:id="rId12"/>
    <sheet name="Evidence" sheetId="11" state="visible" r:id="rId13"/>
  </sheet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4" authorId="0">
      <text>
        <r>
          <rPr>
            <sz val="10"/>
            <rFont val="Arial"/>
            <family val="2"/>
          </rPr>
          <t xml:space="preserve">Phishing is constant and attempts are increasing; lures already observed. Evidence: E4, E6</t>
        </r>
      </text>
      <mc:AlternateContent>
        <mc:Choice Requires="v2">
          <commentPr autoFill="true" autoScale="false" colHidden="false" locked="false" rowHidden="false" textHAlign="justify" textVAlign="top">
            <anchor moveWithCells="false" sizeWithCells="false">
              <xdr:from>
                <xdr:col>1</xdr:col>
                <xdr:colOff>35</xdr:colOff>
                <xdr:row>0</xdr:row>
                <xdr:rowOff>17</xdr:rowOff>
              </xdr:from>
              <xdr:to>
                <xdr:col>2</xdr:col>
                <xdr:colOff>-265</xdr:colOff>
                <xdr:row>3</xdr:row>
                <xdr:rowOff>24</xdr:rowOff>
              </xdr:to>
            </anchor>
          </commentPr>
        </mc:Choice>
        <mc:Fallback/>
      </mc:AlternateContent>
    </comment>
    <comment ref="C5" authorId="0">
      <text>
        <r>
          <rPr>
            <sz val="10"/>
            <rFont val="Arial"/>
            <family val="2"/>
          </rPr>
          <t xml:space="preserve">Healthcare is a sustained ransomware target; attempts rising. Evidence: E4</t>
        </r>
      </text>
      <mc:AlternateContent>
        <mc:Choice Requires="v2">
          <commentPr autoFill="true" autoScale="false" colHidden="false" locked="false" rowHidden="false" textHAlign="justify" textVAlign="top">
            <anchor moveWithCells="false" sizeWithCells="false">
              <xdr:from>
                <xdr:col>1</xdr:col>
                <xdr:colOff>35</xdr:colOff>
                <xdr:row>1</xdr:row>
                <xdr:rowOff>6</xdr:rowOff>
              </xdr:from>
              <xdr:to>
                <xdr:col>2</xdr:col>
                <xdr:colOff>-265</xdr:colOff>
                <xdr:row>4</xdr:row>
                <xdr:rowOff>1</xdr:rowOff>
              </xdr:to>
            </anchor>
          </commentPr>
        </mc:Choice>
        <mc:Fallback/>
      </mc:AlternateContent>
    </comment>
    <comment ref="C6" authorId="0">
      <text>
        <r>
          <rPr>
            <sz val="10"/>
            <rFont val="Arial"/>
            <family val="2"/>
          </rPr>
          <t xml:space="preserve">Conditional on an intrusion reaching administrative level (S1/S2). Evidence: E4, E6</t>
        </r>
      </text>
      <mc:AlternateContent>
        <mc:Choice Requires="v2">
          <commentPr autoFill="true" autoScale="false" colHidden="false" locked="false" rowHidden="false" textHAlign="justify" textVAlign="top">
            <anchor moveWithCells="false" sizeWithCells="false">
              <xdr:from>
                <xdr:col>1</xdr:col>
                <xdr:colOff>35</xdr:colOff>
                <xdr:row>1</xdr:row>
                <xdr:rowOff>17</xdr:rowOff>
              </xdr:from>
              <xdr:to>
                <xdr:col>2</xdr:col>
                <xdr:colOff>-265</xdr:colOff>
                <xdr:row>4</xdr:row>
                <xdr:rowOff>16</xdr:rowOff>
              </xdr:to>
            </anchor>
          </commentPr>
        </mc:Choice>
        <mc:Fallback/>
      </mc:AlternateContent>
    </comment>
    <comment ref="C7" authorId="0">
      <text>
        <r>
          <rPr>
            <sz val="10"/>
            <rFont val="Arial"/>
            <family val="2"/>
          </rPr>
          <t xml:space="preserve">Cloud storage is continuously scanned. Evidence: E4</t>
        </r>
      </text>
      <mc:AlternateContent>
        <mc:Choice Requires="v2">
          <commentPr autoFill="true" autoScale="false" colHidden="false" locked="false" rowHidden="false" textHAlign="justify" textVAlign="top">
            <anchor moveWithCells="false" sizeWithCells="false">
              <xdr:from>
                <xdr:col>1</xdr:col>
                <xdr:colOff>35</xdr:colOff>
                <xdr:row>2</xdr:row>
                <xdr:rowOff>9</xdr:rowOff>
              </xdr:from>
              <xdr:to>
                <xdr:col>2</xdr:col>
                <xdr:colOff>-265</xdr:colOff>
                <xdr:row>4</xdr:row>
                <xdr:rowOff>25</xdr:rowOff>
              </xdr:to>
            </anchor>
          </commentPr>
        </mc:Choice>
        <mc:Fallback/>
      </mc:AlternateContent>
    </comment>
    <comment ref="C8" authorId="0">
      <text>
        <r>
          <rPr>
            <sz val="10"/>
            <rFont val="Arial"/>
            <family val="2"/>
          </rPr>
          <t xml:space="preserve">Insider snooping is recurrent in healthcare; service-account anomaly observed. Evidence: E6</t>
        </r>
      </text>
      <mc:AlternateContent>
        <mc:Choice Requires="v2">
          <commentPr autoFill="true" autoScale="false" colHidden="false" locked="false" rowHidden="false" textHAlign="justify" textVAlign="top">
            <anchor moveWithCells="false" sizeWithCells="false">
              <xdr:from>
                <xdr:col>1</xdr:col>
                <xdr:colOff>35</xdr:colOff>
                <xdr:row>2</xdr:row>
                <xdr:rowOff>21</xdr:rowOff>
              </xdr:from>
              <xdr:to>
                <xdr:col>2</xdr:col>
                <xdr:colOff>-265</xdr:colOff>
                <xdr:row>5</xdr:row>
                <xdr:rowOff>23</xdr:rowOff>
              </xdr:to>
            </anchor>
          </commentPr>
        </mc:Choice>
        <mc:Fallback/>
      </mc:AlternateContent>
    </comment>
    <comment ref="C9" authorId="0">
      <text>
        <r>
          <rPr>
            <sz val="10"/>
            <rFont val="Arial"/>
            <family val="2"/>
          </rPr>
          <t xml:space="preserve">Edge-device exploitation campaigns are frequent. Evidence: E4</t>
        </r>
      </text>
      <mc:AlternateContent>
        <mc:Choice Requires="v2">
          <commentPr autoFill="true" autoScale="false" colHidden="false" locked="false" rowHidden="false" textHAlign="justify" textVAlign="top">
            <anchor moveWithCells="false" sizeWithCells="false">
              <xdr:from>
                <xdr:col>1</xdr:col>
                <xdr:colOff>35</xdr:colOff>
                <xdr:row>3</xdr:row>
                <xdr:rowOff>1</xdr:rowOff>
              </xdr:from>
              <xdr:to>
                <xdr:col>2</xdr:col>
                <xdr:colOff>-265</xdr:colOff>
                <xdr:row>5</xdr:row>
                <xdr:rowOff>16</xdr:rowOff>
              </xdr:to>
            </anchor>
          </commentPr>
        </mc:Choice>
        <mc:Fallback/>
      </mc:AlternateContent>
    </comment>
    <comment ref="C10" authorId="0">
      <text>
        <r>
          <rPr>
            <sz val="10"/>
            <rFont val="Arial"/>
            <family val="2"/>
          </rPr>
          <t xml:space="preserve">Targeting of devices is less frequent than IT, but collateral infection is common. Evidence: E4</t>
        </r>
      </text>
      <mc:AlternateContent>
        <mc:Choice Requires="v2">
          <commentPr autoFill="true" autoScale="false" colHidden="false" locked="false" rowHidden="false" textHAlign="justify" textVAlign="top">
            <anchor moveWithCells="false" sizeWithCells="false">
              <xdr:from>
                <xdr:col>1</xdr:col>
                <xdr:colOff>35</xdr:colOff>
                <xdr:row>3</xdr:row>
                <xdr:rowOff>1</xdr:rowOff>
              </xdr:from>
              <xdr:to>
                <xdr:col>2</xdr:col>
                <xdr:colOff>-265</xdr:colOff>
                <xdr:row>5</xdr:row>
                <xdr:rowOff>20</xdr:rowOff>
              </xdr:to>
            </anchor>
          </commentPr>
        </mc:Choice>
        <mc:Fallback/>
      </mc:AlternateContent>
    </comment>
    <comment ref="C11" authorId="0">
      <text>
        <r>
          <rPr>
            <sz val="10"/>
            <rFont val="Arial"/>
            <family val="2"/>
          </rPr>
          <t xml:space="preserve">Attempts ongoing; some will pass perimeter controls. Evidence: E4</t>
        </r>
      </text>
      <mc:AlternateContent>
        <mc:Choice Requires="v2">
          <commentPr autoFill="true" autoScale="false" colHidden="false" locked="false" rowHidden="false" textHAlign="justify" textVAlign="top">
            <anchor moveWithCells="false" sizeWithCells="false">
              <xdr:from>
                <xdr:col>1</xdr:col>
                <xdr:colOff>35</xdr:colOff>
                <xdr:row>3</xdr:row>
                <xdr:rowOff>13</xdr:rowOff>
              </xdr:from>
              <xdr:to>
                <xdr:col>2</xdr:col>
                <xdr:colOff>-265</xdr:colOff>
                <xdr:row>5</xdr:row>
                <xdr:rowOff>28</xdr:rowOff>
              </xdr:to>
            </anchor>
          </commentPr>
        </mc:Choice>
        <mc:Fallback/>
      </mc:AlternateContent>
    </comment>
    <comment ref="C12" authorId="0">
      <text>
        <r>
          <rPr>
            <sz val="10"/>
            <rFont val="Arial"/>
            <family val="2"/>
          </rPr>
          <t xml:space="preserve">Supply-chain attacks on healthcare vendors are recurrent. Evidence: E7</t>
        </r>
      </text>
      <mc:AlternateContent>
        <mc:Choice Requires="v2">
          <commentPr autoFill="true" autoScale="false" colHidden="false" locked="false" rowHidden="false" textHAlign="justify" textVAlign="top">
            <anchor moveWithCells="false" sizeWithCells="false">
              <xdr:from>
                <xdr:col>1</xdr:col>
                <xdr:colOff>35</xdr:colOff>
                <xdr:row>3</xdr:row>
                <xdr:rowOff>13</xdr:rowOff>
              </xdr:from>
              <xdr:to>
                <xdr:col>2</xdr:col>
                <xdr:colOff>-265</xdr:colOff>
                <xdr:row>5</xdr:row>
                <xdr:rowOff>28</xdr:rowOff>
              </xdr:to>
            </anchor>
          </commentPr>
        </mc:Choice>
        <mc:Fallback/>
      </mc:AlternateContent>
    </comment>
    <comment ref="C13" authorId="0">
      <text>
        <r>
          <rPr>
            <sz val="10"/>
            <rFont val="Arial"/>
            <family val="2"/>
          </rPr>
          <t xml:space="preserve">Integrity attacks are rarer than theft or encryption. Evidence: E4</t>
        </r>
      </text>
      <mc:AlternateContent>
        <mc:Choice Requires="v2">
          <commentPr autoFill="true" autoScale="false" colHidden="false" locked="false" rowHidden="false" textHAlign="justify" textVAlign="top">
            <anchor moveWithCells="false" sizeWithCells="false">
              <xdr:from>
                <xdr:col>1</xdr:col>
                <xdr:colOff>35</xdr:colOff>
                <xdr:row>3</xdr:row>
                <xdr:rowOff>13</xdr:rowOff>
              </xdr:from>
              <xdr:to>
                <xdr:col>2</xdr:col>
                <xdr:colOff>-265</xdr:colOff>
                <xdr:row>5</xdr:row>
                <xdr:rowOff>28</xdr:rowOff>
              </xdr:to>
            </anchor>
          </commentPr>
        </mc:Choice>
        <mc:Fallback/>
      </mc:AlternateContent>
    </comment>
    <comment ref="D4" authorId="0">
      <text>
        <r>
          <rPr>
            <sz val="10"/>
            <rFont val="Arial"/>
            <family val="2"/>
          </rPr>
          <t xml:space="preserve">Push MFA is bypassable by fatigue; no conditional access or macro blocking evidenced. Evidence: E6</t>
        </r>
      </text>
      <mc:AlternateContent>
        <mc:Choice Requires="v2">
          <commentPr autoFill="true" autoScale="false" colHidden="false" locked="false" rowHidden="false" textHAlign="justify" textVAlign="top">
            <anchor moveWithCells="false" sizeWithCells="false">
              <xdr:from>
                <xdr:col>1</xdr:col>
                <xdr:colOff>35</xdr:colOff>
                <xdr:row>0</xdr:row>
                <xdr:rowOff>17</xdr:rowOff>
              </xdr:from>
              <xdr:to>
                <xdr:col>2</xdr:col>
                <xdr:colOff>-265</xdr:colOff>
                <xdr:row>4</xdr:row>
                <xdr:rowOff>7</xdr:rowOff>
              </xdr:to>
            </anchor>
          </commentPr>
        </mc:Choice>
        <mc:Fallback/>
      </mc:AlternateContent>
    </comment>
    <comment ref="D5" authorId="0">
      <text>
        <r>
          <rPr>
            <sz val="10"/>
            <rFont val="Arial"/>
            <family val="2"/>
          </rPr>
          <t xml:space="preserve">Multiple weak links (triage, segmentation, backup isolation) but perimeter controls exist. Evidence: E2, E6</t>
        </r>
      </text>
      <mc:AlternateContent>
        <mc:Choice Requires="v2">
          <commentPr autoFill="true" autoScale="false" colHidden="false" locked="false" rowHidden="false" textHAlign="justify" textVAlign="top">
            <anchor moveWithCells="false" sizeWithCells="false">
              <xdr:from>
                <xdr:col>1</xdr:col>
                <xdr:colOff>35</xdr:colOff>
                <xdr:row>1</xdr:row>
                <xdr:rowOff>6</xdr:rowOff>
              </xdr:from>
              <xdr:to>
                <xdr:col>2</xdr:col>
                <xdr:colOff>-265</xdr:colOff>
                <xdr:row>4</xdr:row>
                <xdr:rowOff>19</xdr:rowOff>
              </xdr:to>
            </anchor>
          </commentPr>
        </mc:Choice>
        <mc:Fallback/>
      </mc:AlternateContent>
    </comment>
    <comment ref="D6" authorId="0">
      <text>
        <r>
          <rPr>
            <sz val="10"/>
            <rFont val="Arial"/>
            <family val="2"/>
          </rPr>
          <t xml:space="preserve">Isolation unknown; failures in E6 suggest exposure. Evidence: E2, E6</t>
        </r>
      </text>
      <mc:AlternateContent>
        <mc:Choice Requires="v2">
          <commentPr autoFill="true" autoScale="false" colHidden="false" locked="false" rowHidden="false" textHAlign="justify" textVAlign="top">
            <anchor moveWithCells="false" sizeWithCells="false">
              <xdr:from>
                <xdr:col>1</xdr:col>
                <xdr:colOff>35</xdr:colOff>
                <xdr:row>1</xdr:row>
                <xdr:rowOff>17</xdr:rowOff>
              </xdr:from>
              <xdr:to>
                <xdr:col>2</xdr:col>
                <xdr:colOff>-265</xdr:colOff>
                <xdr:row>4</xdr:row>
                <xdr:rowOff>13</xdr:rowOff>
              </xdr:to>
            </anchor>
          </commentPr>
        </mc:Choice>
        <mc:Fallback/>
      </mc:AlternateContent>
    </comment>
    <comment ref="D7" authorId="0">
      <text>
        <r>
          <rPr>
            <sz val="10"/>
            <rFont val="Arial"/>
            <family val="2"/>
          </rPr>
          <t xml:space="preserve">Depends on sharing configuration - unknown; E6 suggests weakness. Evidence: E6</t>
        </r>
      </text>
      <mc:AlternateContent>
        <mc:Choice Requires="v2">
          <commentPr autoFill="true" autoScale="false" colHidden="false" locked="false" rowHidden="false" textHAlign="justify" textVAlign="top">
            <anchor moveWithCells="false" sizeWithCells="false">
              <xdr:from>
                <xdr:col>1</xdr:col>
                <xdr:colOff>35</xdr:colOff>
                <xdr:row>2</xdr:row>
                <xdr:rowOff>9</xdr:rowOff>
              </xdr:from>
              <xdr:to>
                <xdr:col>2</xdr:col>
                <xdr:colOff>-265</xdr:colOff>
                <xdr:row>4</xdr:row>
                <xdr:rowOff>28</xdr:rowOff>
              </xdr:to>
            </anchor>
          </commentPr>
        </mc:Choice>
        <mc:Fallback/>
      </mc:AlternateContent>
    </comment>
    <comment ref="D8" authorId="0">
      <text>
        <r>
          <rPr>
            <sz val="10"/>
            <rFont val="Arial"/>
            <family val="2"/>
          </rPr>
          <t xml:space="preserve">Legitimate access bypasses perimeter controls; no analytics. Evidence: E6, E7</t>
        </r>
      </text>
      <mc:AlternateContent>
        <mc:Choice Requires="v2">
          <commentPr autoFill="true" autoScale="false" colHidden="false" locked="false" rowHidden="false" textHAlign="justify" textVAlign="top">
            <anchor moveWithCells="false" sizeWithCells="false">
              <xdr:from>
                <xdr:col>1</xdr:col>
                <xdr:colOff>35</xdr:colOff>
                <xdr:row>2</xdr:row>
                <xdr:rowOff>21</xdr:rowOff>
              </xdr:from>
              <xdr:to>
                <xdr:col>2</xdr:col>
                <xdr:colOff>-265</xdr:colOff>
                <xdr:row>5</xdr:row>
                <xdr:rowOff>5</xdr:rowOff>
              </xdr:to>
            </anchor>
          </commentPr>
        </mc:Choice>
        <mc:Fallback/>
      </mc:AlternateContent>
    </comment>
    <comment ref="D9" authorId="0">
      <text>
        <r>
          <rPr>
            <sz val="10"/>
            <rFont val="Arial"/>
            <family val="2"/>
          </rPr>
          <t xml:space="preserve">Patching lag documented; inventory incomplete. Evidence: E3, E7</t>
        </r>
      </text>
      <mc:AlternateContent>
        <mc:Choice Requires="v2">
          <commentPr autoFill="true" autoScale="false" colHidden="false" locked="false" rowHidden="false" textHAlign="justify" textVAlign="top">
            <anchor moveWithCells="false" sizeWithCells="false">
              <xdr:from>
                <xdr:col>1</xdr:col>
                <xdr:colOff>35</xdr:colOff>
                <xdr:row>3</xdr:row>
                <xdr:rowOff>1</xdr:rowOff>
              </xdr:from>
              <xdr:to>
                <xdr:col>2</xdr:col>
                <xdr:colOff>-265</xdr:colOff>
                <xdr:row>5</xdr:row>
                <xdr:rowOff>16</xdr:rowOff>
              </xdr:to>
            </anchor>
          </commentPr>
        </mc:Choice>
        <mc:Fallback/>
      </mc:AlternateContent>
    </comment>
    <comment ref="D10" authorId="0">
      <text>
        <r>
          <rPr>
            <sz val="10"/>
            <rFont val="Arial"/>
            <family val="2"/>
          </rPr>
          <t xml:space="preserve">Patch and segmentation constraints documented. Evidence: E3, E4</t>
        </r>
      </text>
      <mc:AlternateContent>
        <mc:Choice Requires="v2">
          <commentPr autoFill="true" autoScale="false" colHidden="false" locked="false" rowHidden="false" textHAlign="justify" textVAlign="top">
            <anchor moveWithCells="false" sizeWithCells="false">
              <xdr:from>
                <xdr:col>1</xdr:col>
                <xdr:colOff>35</xdr:colOff>
                <xdr:row>3</xdr:row>
                <xdr:rowOff>1</xdr:rowOff>
              </xdr:from>
              <xdr:to>
                <xdr:col>2</xdr:col>
                <xdr:colOff>-265</xdr:colOff>
                <xdr:row>5</xdr:row>
                <xdr:rowOff>20</xdr:rowOff>
              </xdr:to>
            </anchor>
          </commentPr>
        </mc:Choice>
        <mc:Fallback/>
      </mc:AlternateContent>
    </comment>
    <comment ref="D11" authorId="0">
      <text>
        <r>
          <rPr>
            <sz val="10"/>
            <rFont val="Arial"/>
            <family val="2"/>
          </rPr>
          <t xml:space="preserve">Evidence of mis-triaged alerts and uncorrelated signals. Evidence: E6</t>
        </r>
      </text>
      <mc:AlternateContent>
        <mc:Choice Requires="v2">
          <commentPr autoFill="true" autoScale="false" colHidden="false" locked="false" rowHidden="false" textHAlign="justify" textVAlign="top">
            <anchor moveWithCells="false" sizeWithCells="false">
              <xdr:from>
                <xdr:col>1</xdr:col>
                <xdr:colOff>35</xdr:colOff>
                <xdr:row>3</xdr:row>
                <xdr:rowOff>13</xdr:rowOff>
              </xdr:from>
              <xdr:to>
                <xdr:col>2</xdr:col>
                <xdr:colOff>-265</xdr:colOff>
                <xdr:row>5</xdr:row>
                <xdr:rowOff>28</xdr:rowOff>
              </xdr:to>
            </anchor>
          </commentPr>
        </mc:Choice>
        <mc:Fallback/>
      </mc:AlternateContent>
    </comment>
    <comment ref="D12" authorId="0">
      <text>
        <r>
          <rPr>
            <sz val="10"/>
            <rFont val="Arial"/>
            <family val="2"/>
          </rPr>
          <t xml:space="preserve">Controls over vendor access not evidenced. Evidence: E7</t>
        </r>
      </text>
      <mc:AlternateContent>
        <mc:Choice Requires="v2">
          <commentPr autoFill="true" autoScale="false" colHidden="false" locked="false" rowHidden="false" textHAlign="justify" textVAlign="top">
            <anchor moveWithCells="false" sizeWithCells="false">
              <xdr:from>
                <xdr:col>1</xdr:col>
                <xdr:colOff>35</xdr:colOff>
                <xdr:row>3</xdr:row>
                <xdr:rowOff>13</xdr:rowOff>
              </xdr:from>
              <xdr:to>
                <xdr:col>2</xdr:col>
                <xdr:colOff>-265</xdr:colOff>
                <xdr:row>5</xdr:row>
                <xdr:rowOff>28</xdr:rowOff>
              </xdr:to>
            </anchor>
          </commentPr>
        </mc:Choice>
        <mc:Fallback/>
      </mc:AlternateContent>
    </comment>
    <comment ref="D13" authorId="0">
      <text>
        <r>
          <rPr>
            <sz val="10"/>
            <rFont val="Arial"/>
            <family val="2"/>
          </rPr>
          <t xml:space="preserve">Requires write access; monitoring absent. Evidence: E8</t>
        </r>
      </text>
      <mc:AlternateContent>
        <mc:Choice Requires="v2">
          <commentPr autoFill="true" autoScale="false" colHidden="false" locked="false" rowHidden="false" textHAlign="justify" textVAlign="top">
            <anchor moveWithCells="false" sizeWithCells="false">
              <xdr:from>
                <xdr:col>1</xdr:col>
                <xdr:colOff>35</xdr:colOff>
                <xdr:row>3</xdr:row>
                <xdr:rowOff>13</xdr:rowOff>
              </xdr:from>
              <xdr:to>
                <xdr:col>2</xdr:col>
                <xdr:colOff>-265</xdr:colOff>
                <xdr:row>5</xdr:row>
                <xdr:rowOff>28</xdr:rowOff>
              </xdr:to>
            </anchor>
          </commentPr>
        </mc:Choice>
        <mc:Fallback/>
      </mc:AlternateContent>
    </comment>
    <comment ref="E4" authorId="0">
      <text>
        <r>
          <rPr>
            <sz val="10"/>
            <rFont val="Arial"/>
            <family val="2"/>
          </rPr>
          <t xml:space="preserve">Access to a subset of records; containment possible if detected. Evidence: E1, E6</t>
        </r>
      </text>
      <mc:AlternateContent>
        <mc:Choice Requires="v2">
          <commentPr autoFill="true" autoScale="false" colHidden="false" locked="false" rowHidden="false" textHAlign="justify" textVAlign="top">
            <anchor moveWithCells="false" sizeWithCells="false">
              <xdr:from>
                <xdr:col>1</xdr:col>
                <xdr:colOff>35</xdr:colOff>
                <xdr:row>0</xdr:row>
                <xdr:rowOff>17</xdr:rowOff>
              </xdr:from>
              <xdr:to>
                <xdr:col>2</xdr:col>
                <xdr:colOff>-265</xdr:colOff>
                <xdr:row>3</xdr:row>
                <xdr:rowOff>21</xdr:rowOff>
              </xdr:to>
            </anchor>
          </commentPr>
        </mc:Choice>
        <mc:Fallback/>
      </mc:AlternateContent>
    </comment>
    <comment ref="E5" authorId="0">
      <text>
        <r>
          <rPr>
            <sz val="10"/>
            <rFont val="Arial"/>
            <family val="2"/>
          </rPr>
          <t xml:space="preserve">Multi-day disruption of several clinics. Evidence: E1, E6</t>
        </r>
      </text>
      <mc:AlternateContent>
        <mc:Choice Requires="v2">
          <commentPr autoFill="true" autoScale="false" colHidden="false" locked="false" rowHidden="false" textHAlign="justify" textVAlign="top">
            <anchor moveWithCells="false" sizeWithCells="false">
              <xdr:from>
                <xdr:col>1</xdr:col>
                <xdr:colOff>35</xdr:colOff>
                <xdr:row>1</xdr:row>
                <xdr:rowOff>6</xdr:rowOff>
              </xdr:from>
              <xdr:to>
                <xdr:col>2</xdr:col>
                <xdr:colOff>-265</xdr:colOff>
                <xdr:row>4</xdr:row>
                <xdr:rowOff>1</xdr:rowOff>
              </xdr:to>
            </anchor>
          </commentPr>
        </mc:Choice>
        <mc:Fallback/>
      </mc:AlternateContent>
    </comment>
    <comment ref="E6" authorId="0">
      <text>
        <r>
          <rPr>
            <sz val="10"/>
            <rFont val="Arial"/>
            <family val="2"/>
          </rPr>
          <t xml:space="preserve">Partial loss of recent restore points. Evidence: E2</t>
        </r>
      </text>
      <mc:AlternateContent>
        <mc:Choice Requires="v2">
          <commentPr autoFill="true" autoScale="false" colHidden="false" locked="false" rowHidden="false" textHAlign="justify" textVAlign="top">
            <anchor moveWithCells="false" sizeWithCells="false">
              <xdr:from>
                <xdr:col>1</xdr:col>
                <xdr:colOff>35</xdr:colOff>
                <xdr:row>1</xdr:row>
                <xdr:rowOff>17</xdr:rowOff>
              </xdr:from>
              <xdr:to>
                <xdr:col>2</xdr:col>
                <xdr:colOff>-265</xdr:colOff>
                <xdr:row>4</xdr:row>
                <xdr:rowOff>13</xdr:rowOff>
              </xdr:to>
            </anchor>
          </commentPr>
        </mc:Choice>
        <mc:Fallback/>
      </mc:AlternateContent>
    </comment>
    <comment ref="E7" authorId="0">
      <text>
        <r>
          <rPr>
            <sz val="10"/>
            <rFont val="Arial"/>
            <family val="2"/>
          </rPr>
          <t xml:space="preserve">Partial data set exposed. Evidence: E6</t>
        </r>
      </text>
      <mc:AlternateContent>
        <mc:Choice Requires="v2">
          <commentPr autoFill="true" autoScale="false" colHidden="false" locked="false" rowHidden="false" textHAlign="justify" textVAlign="top">
            <anchor moveWithCells="false" sizeWithCells="false">
              <xdr:from>
                <xdr:col>1</xdr:col>
                <xdr:colOff>35</xdr:colOff>
                <xdr:row>2</xdr:row>
                <xdr:rowOff>9</xdr:rowOff>
              </xdr:from>
              <xdr:to>
                <xdr:col>2</xdr:col>
                <xdr:colOff>-265</xdr:colOff>
                <xdr:row>4</xdr:row>
                <xdr:rowOff>25</xdr:rowOff>
              </xdr:to>
            </anchor>
          </commentPr>
        </mc:Choice>
        <mc:Fallback/>
      </mc:AlternateContent>
    </comment>
    <comment ref="E8" authorId="0">
      <text>
        <r>
          <rPr>
            <sz val="10"/>
            <rFont val="Arial"/>
            <family val="2"/>
          </rPr>
          <t xml:space="preserve">Limited set of records. Evidence: E1</t>
        </r>
      </text>
      <mc:AlternateContent>
        <mc:Choice Requires="v2">
          <commentPr autoFill="true" autoScale="false" colHidden="false" locked="false" rowHidden="false" textHAlign="justify" textVAlign="top">
            <anchor moveWithCells="false" sizeWithCells="false">
              <xdr:from>
                <xdr:col>1</xdr:col>
                <xdr:colOff>35</xdr:colOff>
                <xdr:row>2</xdr:row>
                <xdr:rowOff>21</xdr:rowOff>
              </xdr:from>
              <xdr:to>
                <xdr:col>2</xdr:col>
                <xdr:colOff>-265</xdr:colOff>
                <xdr:row>5</xdr:row>
                <xdr:rowOff>5</xdr:rowOff>
              </xdr:to>
            </anchor>
          </commentPr>
        </mc:Choice>
        <mc:Fallback/>
      </mc:AlternateContent>
    </comment>
    <comment ref="E9" authorId="0">
      <text>
        <r>
          <rPr>
            <sz val="10"/>
            <rFont val="Arial"/>
            <family val="2"/>
          </rPr>
          <t xml:space="preserve">Foothold with some data access. Evidence: E2</t>
        </r>
      </text>
      <mc:AlternateContent>
        <mc:Choice Requires="v2">
          <commentPr autoFill="true" autoScale="false" colHidden="false" locked="false" rowHidden="false" textHAlign="justify" textVAlign="top">
            <anchor moveWithCells="false" sizeWithCells="false">
              <xdr:from>
                <xdr:col>1</xdr:col>
                <xdr:colOff>35</xdr:colOff>
                <xdr:row>3</xdr:row>
                <xdr:rowOff>1</xdr:rowOff>
              </xdr:from>
              <xdr:to>
                <xdr:col>2</xdr:col>
                <xdr:colOff>-265</xdr:colOff>
                <xdr:row>5</xdr:row>
                <xdr:rowOff>16</xdr:rowOff>
              </xdr:to>
            </anchor>
          </commentPr>
        </mc:Choice>
        <mc:Fallback/>
      </mc:AlternateContent>
    </comment>
    <comment ref="E10" authorId="0">
      <text>
        <r>
          <rPr>
            <sz val="10"/>
            <rFont val="Arial"/>
            <family val="2"/>
          </rPr>
          <t xml:space="preserve">Some devices unavailable at one clinic. Evidence: E1</t>
        </r>
      </text>
      <mc:AlternateContent>
        <mc:Choice Requires="v2">
          <commentPr autoFill="true" autoScale="false" colHidden="false" locked="false" rowHidden="false" textHAlign="justify" textVAlign="top">
            <anchor moveWithCells="false" sizeWithCells="false">
              <xdr:from>
                <xdr:col>1</xdr:col>
                <xdr:colOff>35</xdr:colOff>
                <xdr:row>3</xdr:row>
                <xdr:rowOff>1</xdr:rowOff>
              </xdr:from>
              <xdr:to>
                <xdr:col>2</xdr:col>
                <xdr:colOff>-265</xdr:colOff>
                <xdr:row>5</xdr:row>
                <xdr:rowOff>16</xdr:rowOff>
              </xdr:to>
            </anchor>
          </commentPr>
        </mc:Choice>
        <mc:Fallback/>
      </mc:AlternateContent>
    </comment>
    <comment ref="E11" authorId="0">
      <text>
        <r>
          <rPr>
            <sz val="10"/>
            <rFont val="Arial"/>
            <family val="2"/>
          </rPr>
          <t xml:space="preserve">Incident escalates before containment. Evidence: E6</t>
        </r>
      </text>
      <mc:AlternateContent>
        <mc:Choice Requires="v2">
          <commentPr autoFill="true" autoScale="false" colHidden="false" locked="false" rowHidden="false" textHAlign="justify" textVAlign="top">
            <anchor moveWithCells="false" sizeWithCells="false">
              <xdr:from>
                <xdr:col>1</xdr:col>
                <xdr:colOff>35</xdr:colOff>
                <xdr:row>3</xdr:row>
                <xdr:rowOff>13</xdr:rowOff>
              </xdr:from>
              <xdr:to>
                <xdr:col>2</xdr:col>
                <xdr:colOff>-265</xdr:colOff>
                <xdr:row>5</xdr:row>
                <xdr:rowOff>28</xdr:rowOff>
              </xdr:to>
            </anchor>
          </commentPr>
        </mc:Choice>
        <mc:Fallback/>
      </mc:AlternateContent>
    </comment>
    <comment ref="E12" authorId="0">
      <text>
        <r>
          <rPr>
            <sz val="10"/>
            <rFont val="Arial"/>
            <family val="2"/>
          </rPr>
          <t xml:space="preserve">Breach through one vendor path. Evidence: E2</t>
        </r>
      </text>
      <mc:AlternateContent>
        <mc:Choice Requires="v2">
          <commentPr autoFill="true" autoScale="false" colHidden="false" locked="false" rowHidden="false" textHAlign="justify" textVAlign="top">
            <anchor moveWithCells="false" sizeWithCells="false">
              <xdr:from>
                <xdr:col>1</xdr:col>
                <xdr:colOff>35</xdr:colOff>
                <xdr:row>3</xdr:row>
                <xdr:rowOff>13</xdr:rowOff>
              </xdr:from>
              <xdr:to>
                <xdr:col>2</xdr:col>
                <xdr:colOff>-265</xdr:colOff>
                <xdr:row>5</xdr:row>
                <xdr:rowOff>28</xdr:rowOff>
              </xdr:to>
            </anchor>
          </commentPr>
        </mc:Choice>
        <mc:Fallback/>
      </mc:AlternateContent>
    </comment>
    <comment ref="E13" authorId="0">
      <text>
        <r>
          <rPr>
            <sz val="10"/>
            <rFont val="Arial"/>
            <family val="2"/>
          </rPr>
          <t xml:space="preserve">Limited record set altered and detected. Evidence: E1</t>
        </r>
      </text>
      <mc:AlternateContent>
        <mc:Choice Requires="v2">
          <commentPr autoFill="true" autoScale="false" colHidden="false" locked="false" rowHidden="false" textHAlign="justify" textVAlign="top">
            <anchor moveWithCells="false" sizeWithCells="false">
              <xdr:from>
                <xdr:col>1</xdr:col>
                <xdr:colOff>35</xdr:colOff>
                <xdr:row>3</xdr:row>
                <xdr:rowOff>13</xdr:rowOff>
              </xdr:from>
              <xdr:to>
                <xdr:col>2</xdr:col>
                <xdr:colOff>-265</xdr:colOff>
                <xdr:row>5</xdr:row>
                <xdr:rowOff>28</xdr:rowOff>
              </xdr:to>
            </anchor>
          </commentPr>
        </mc:Choice>
        <mc:Fallback/>
      </mc:AlternateContent>
    </comment>
    <comment ref="F4" authorId="0">
      <text>
        <r>
          <rPr>
            <sz val="10"/>
            <rFont val="Arial"/>
            <family val="2"/>
          </rPr>
          <t xml:space="preserve">Full EHR access or pivot to ransomware. Evidence: E1</t>
        </r>
      </text>
      <mc:AlternateContent>
        <mc:Choice Requires="v2">
          <commentPr autoFill="true" autoScale="false" colHidden="false" locked="false" rowHidden="false" textHAlign="justify" textVAlign="top">
            <anchor moveWithCells="false" sizeWithCells="false">
              <xdr:from>
                <xdr:col>1</xdr:col>
                <xdr:colOff>35</xdr:colOff>
                <xdr:row>0</xdr:row>
                <xdr:rowOff>17</xdr:rowOff>
              </xdr:from>
              <xdr:to>
                <xdr:col>2</xdr:col>
                <xdr:colOff>-265</xdr:colOff>
                <xdr:row>3</xdr:row>
                <xdr:rowOff>21</xdr:rowOff>
              </xdr:to>
            </anchor>
          </commentPr>
        </mc:Choice>
        <mc:Fallback/>
      </mc:AlternateContent>
    </comment>
    <comment ref="F5" authorId="0">
      <text>
        <r>
          <rPr>
            <sz val="10"/>
            <rFont val="Arial"/>
            <family val="2"/>
          </rPr>
          <t xml:space="preserve">Network-wide outage with data theft and failed recovery. Evidence: E1</t>
        </r>
      </text>
      <mc:AlternateContent>
        <mc:Choice Requires="v2">
          <commentPr autoFill="true" autoScale="false" colHidden="false" locked="false" rowHidden="false" textHAlign="justify" textVAlign="top">
            <anchor moveWithCells="false" sizeWithCells="false">
              <xdr:from>
                <xdr:col>1</xdr:col>
                <xdr:colOff>35</xdr:colOff>
                <xdr:row>1</xdr:row>
                <xdr:rowOff>6</xdr:rowOff>
              </xdr:from>
              <xdr:to>
                <xdr:col>2</xdr:col>
                <xdr:colOff>-265</xdr:colOff>
                <xdr:row>4</xdr:row>
                <xdr:rowOff>1</xdr:rowOff>
              </xdr:to>
            </anchor>
          </commentPr>
        </mc:Choice>
        <mc:Fallback/>
      </mc:AlternateContent>
    </comment>
    <comment ref="F6" authorId="0">
      <text>
        <r>
          <rPr>
            <sz val="10"/>
            <rFont val="Arial"/>
            <family val="2"/>
          </rPr>
          <t xml:space="preserve">No usable backup for EHR. Evidence: E1</t>
        </r>
      </text>
      <mc:AlternateContent>
        <mc:Choice Requires="v2">
          <commentPr autoFill="true" autoScale="false" colHidden="false" locked="false" rowHidden="false" textHAlign="justify" textVAlign="top">
            <anchor moveWithCells="false" sizeWithCells="false">
              <xdr:from>
                <xdr:col>1</xdr:col>
                <xdr:colOff>35</xdr:colOff>
                <xdr:row>1</xdr:row>
                <xdr:rowOff>17</xdr:rowOff>
              </xdr:from>
              <xdr:to>
                <xdr:col>2</xdr:col>
                <xdr:colOff>-265</xdr:colOff>
                <xdr:row>4</xdr:row>
                <xdr:rowOff>13</xdr:rowOff>
              </xdr:to>
            </anchor>
          </commentPr>
        </mc:Choice>
        <mc:Fallback/>
      </mc:AlternateContent>
    </comment>
    <comment ref="F7" authorId="0">
      <text>
        <r>
          <rPr>
            <sz val="10"/>
            <rFont val="Arial"/>
            <family val="2"/>
          </rPr>
          <t xml:space="preserve">Entire export history exposed. Evidence: E1</t>
        </r>
      </text>
      <mc:AlternateContent>
        <mc:Choice Requires="v2">
          <commentPr autoFill="true" autoScale="false" colHidden="false" locked="false" rowHidden="false" textHAlign="justify" textVAlign="top">
            <anchor moveWithCells="false" sizeWithCells="false">
              <xdr:from>
                <xdr:col>1</xdr:col>
                <xdr:colOff>35</xdr:colOff>
                <xdr:row>2</xdr:row>
                <xdr:rowOff>9</xdr:rowOff>
              </xdr:from>
              <xdr:to>
                <xdr:col>2</xdr:col>
                <xdr:colOff>-265</xdr:colOff>
                <xdr:row>4</xdr:row>
                <xdr:rowOff>25</xdr:rowOff>
              </xdr:to>
            </anchor>
          </commentPr>
        </mc:Choice>
        <mc:Fallback/>
      </mc:AlternateContent>
    </comment>
    <comment ref="F8" authorId="0">
      <text>
        <r>
          <rPr>
            <sz val="10"/>
            <rFont val="Arial"/>
            <family val="2"/>
          </rPr>
          <t xml:space="preserve">Bulk extraction through the service account. Evidence: E6</t>
        </r>
      </text>
      <mc:AlternateContent>
        <mc:Choice Requires="v2">
          <commentPr autoFill="true" autoScale="false" colHidden="false" locked="false" rowHidden="false" textHAlign="justify" textVAlign="top">
            <anchor moveWithCells="false" sizeWithCells="false">
              <xdr:from>
                <xdr:col>1</xdr:col>
                <xdr:colOff>35</xdr:colOff>
                <xdr:row>2</xdr:row>
                <xdr:rowOff>21</xdr:rowOff>
              </xdr:from>
              <xdr:to>
                <xdr:col>2</xdr:col>
                <xdr:colOff>-265</xdr:colOff>
                <xdr:row>5</xdr:row>
                <xdr:rowOff>5</xdr:rowOff>
              </xdr:to>
            </anchor>
          </commentPr>
        </mc:Choice>
        <mc:Fallback/>
      </mc:AlternateContent>
    </comment>
    <comment ref="F9" authorId="0">
      <text>
        <r>
          <rPr>
            <sz val="10"/>
            <rFont val="Arial"/>
            <family val="2"/>
          </rPr>
          <t xml:space="preserve">Precursor to network-wide ransomware. Evidence: E1</t>
        </r>
      </text>
      <mc:AlternateContent>
        <mc:Choice Requires="v2">
          <commentPr autoFill="true" autoScale="false" colHidden="false" locked="false" rowHidden="false" textHAlign="justify" textVAlign="top">
            <anchor moveWithCells="false" sizeWithCells="false">
              <xdr:from>
                <xdr:col>1</xdr:col>
                <xdr:colOff>35</xdr:colOff>
                <xdr:row>3</xdr:row>
                <xdr:rowOff>1</xdr:rowOff>
              </xdr:from>
              <xdr:to>
                <xdr:col>2</xdr:col>
                <xdr:colOff>-265</xdr:colOff>
                <xdr:row>5</xdr:row>
                <xdr:rowOff>16</xdr:rowOff>
              </xdr:to>
            </anchor>
          </commentPr>
        </mc:Choice>
        <mc:Fallback/>
      </mc:AlternateContent>
    </comment>
    <comment ref="F10" authorId="0">
      <text>
        <r>
          <rPr>
            <sz val="10"/>
            <rFont val="Arial"/>
            <family val="2"/>
          </rPr>
          <t xml:space="preserve">Patient harm from altered or unavailable equipment. Evidence: E5</t>
        </r>
      </text>
      <mc:AlternateContent>
        <mc:Choice Requires="v2">
          <commentPr autoFill="true" autoScale="false" colHidden="false" locked="false" rowHidden="false" textHAlign="justify" textVAlign="top">
            <anchor moveWithCells="false" sizeWithCells="false">
              <xdr:from>
                <xdr:col>1</xdr:col>
                <xdr:colOff>35</xdr:colOff>
                <xdr:row>3</xdr:row>
                <xdr:rowOff>1</xdr:rowOff>
              </xdr:from>
              <xdr:to>
                <xdr:col>2</xdr:col>
                <xdr:colOff>-265</xdr:colOff>
                <xdr:row>5</xdr:row>
                <xdr:rowOff>16</xdr:rowOff>
              </xdr:to>
            </anchor>
          </commentPr>
        </mc:Choice>
        <mc:Fallback/>
      </mc:AlternateContent>
    </comment>
    <comment ref="F11" authorId="0">
      <text>
        <r>
          <rPr>
            <sz val="10"/>
            <rFont val="Arial"/>
            <family val="2"/>
          </rPr>
          <t xml:space="preserve">Full ransomware and breach scenario. Evidence: E6</t>
        </r>
      </text>
      <mc:AlternateContent>
        <mc:Choice Requires="v2">
          <commentPr autoFill="true" autoScale="false" colHidden="false" locked="false" rowHidden="false" textHAlign="justify" textVAlign="top">
            <anchor moveWithCells="false" sizeWithCells="false">
              <xdr:from>
                <xdr:col>1</xdr:col>
                <xdr:colOff>35</xdr:colOff>
                <xdr:row>3</xdr:row>
                <xdr:rowOff>13</xdr:rowOff>
              </xdr:from>
              <xdr:to>
                <xdr:col>2</xdr:col>
                <xdr:colOff>-265</xdr:colOff>
                <xdr:row>5</xdr:row>
                <xdr:rowOff>28</xdr:rowOff>
              </xdr:to>
            </anchor>
          </commentPr>
        </mc:Choice>
        <mc:Fallback/>
      </mc:AlternateContent>
    </comment>
    <comment ref="F12" authorId="0">
      <text>
        <r>
          <rPr>
            <sz val="10"/>
            <rFont val="Arial"/>
            <family val="2"/>
          </rPr>
          <t xml:space="preserve">EHR vendor compromise affecting all clinics. Evidence: E1</t>
        </r>
      </text>
      <mc:AlternateContent>
        <mc:Choice Requires="v2">
          <commentPr autoFill="true" autoScale="false" colHidden="false" locked="false" rowHidden="false" textHAlign="justify" textVAlign="top">
            <anchor moveWithCells="false" sizeWithCells="false">
              <xdr:from>
                <xdr:col>1</xdr:col>
                <xdr:colOff>35</xdr:colOff>
                <xdr:row>3</xdr:row>
                <xdr:rowOff>13</xdr:rowOff>
              </xdr:from>
              <xdr:to>
                <xdr:col>2</xdr:col>
                <xdr:colOff>-265</xdr:colOff>
                <xdr:row>5</xdr:row>
                <xdr:rowOff>28</xdr:rowOff>
              </xdr:to>
            </anchor>
          </commentPr>
        </mc:Choice>
        <mc:Fallback/>
      </mc:AlternateContent>
    </comment>
    <comment ref="F13" authorId="0">
      <text>
        <r>
          <rPr>
            <sz val="10"/>
            <rFont val="Arial"/>
            <family val="2"/>
          </rPr>
          <t xml:space="preserve">Patient harm from undetected alteration. Evidence: E5</t>
        </r>
      </text>
      <mc:AlternateContent>
        <mc:Choice Requires="v2">
          <commentPr autoFill="true" autoScale="false" colHidden="false" locked="false" rowHidden="false" textHAlign="justify" textVAlign="top">
            <anchor moveWithCells="false" sizeWithCells="false">
              <xdr:from>
                <xdr:col>1</xdr:col>
                <xdr:colOff>35</xdr:colOff>
                <xdr:row>3</xdr:row>
                <xdr:rowOff>13</xdr:rowOff>
              </xdr:from>
              <xdr:to>
                <xdr:col>2</xdr:col>
                <xdr:colOff>-265</xdr:colOff>
                <xdr:row>5</xdr:row>
                <xdr:rowOff>28</xdr:rowOff>
              </xdr:to>
            </anchor>
          </commentPr>
        </mc:Choice>
        <mc:Fallback/>
      </mc:AlternateContent>
    </comment>
    <comment ref="G4" authorId="0">
      <text>
        <r>
          <rPr>
            <sz val="10"/>
            <rFont val="Arial"/>
            <family val="2"/>
          </rPr>
          <t xml:space="preserve">Two-person team; alert triage weak; IR untested. Evidence: E3, E6</t>
        </r>
      </text>
      <mc:AlternateContent>
        <mc:Choice Requires="v2">
          <commentPr autoFill="true" autoScale="false" colHidden="false" locked="false" rowHidden="false" textHAlign="justify" textVAlign="top">
            <anchor moveWithCells="false" sizeWithCells="false">
              <xdr:from>
                <xdr:col>1</xdr:col>
                <xdr:colOff>35</xdr:colOff>
                <xdr:row>0</xdr:row>
                <xdr:rowOff>17</xdr:rowOff>
              </xdr:from>
              <xdr:to>
                <xdr:col>2</xdr:col>
                <xdr:colOff>-265</xdr:colOff>
                <xdr:row>3</xdr:row>
                <xdr:rowOff>21</xdr:rowOff>
              </xdr:to>
            </anchor>
          </commentPr>
        </mc:Choice>
        <mc:Fallback/>
      </mc:AlternateContent>
    </comment>
    <comment ref="G5" authorId="0">
      <text>
        <r>
          <rPr>
            <sz val="10"/>
            <rFont val="Arial"/>
            <family val="2"/>
          </rPr>
          <t xml:space="preserve">Recovery and workarounds untested; small team. Evidence: E3, E7</t>
        </r>
      </text>
      <mc:AlternateContent>
        <mc:Choice Requires="v2">
          <commentPr autoFill="true" autoScale="false" colHidden="false" locked="false" rowHidden="false" textHAlign="justify" textVAlign="top">
            <anchor moveWithCells="false" sizeWithCells="false">
              <xdr:from>
                <xdr:col>1</xdr:col>
                <xdr:colOff>35</xdr:colOff>
                <xdr:row>1</xdr:row>
                <xdr:rowOff>6</xdr:rowOff>
              </xdr:from>
              <xdr:to>
                <xdr:col>2</xdr:col>
                <xdr:colOff>-265</xdr:colOff>
                <xdr:row>4</xdr:row>
                <xdr:rowOff>1</xdr:rowOff>
              </xdr:to>
            </anchor>
          </commentPr>
        </mc:Choice>
        <mc:Fallback/>
      </mc:AlternateContent>
    </comment>
    <comment ref="G6" authorId="0">
      <text>
        <r>
          <rPr>
            <sz val="10"/>
            <rFont val="Arial"/>
            <family val="2"/>
          </rPr>
          <t xml:space="preserve">No restore testing evidence. Evidence: E7</t>
        </r>
      </text>
      <mc:AlternateContent>
        <mc:Choice Requires="v2">
          <commentPr autoFill="true" autoScale="false" colHidden="false" locked="false" rowHidden="false" textHAlign="justify" textVAlign="top">
            <anchor moveWithCells="false" sizeWithCells="false">
              <xdr:from>
                <xdr:col>1</xdr:col>
                <xdr:colOff>35</xdr:colOff>
                <xdr:row>1</xdr:row>
                <xdr:rowOff>17</xdr:rowOff>
              </xdr:from>
              <xdr:to>
                <xdr:col>2</xdr:col>
                <xdr:colOff>-265</xdr:colOff>
                <xdr:row>4</xdr:row>
                <xdr:rowOff>13</xdr:rowOff>
              </xdr:to>
            </anchor>
          </commentPr>
        </mc:Choice>
        <mc:Fallback/>
      </mc:AlternateContent>
    </comment>
    <comment ref="G7" authorId="0">
      <text>
        <r>
          <rPr>
            <sz val="10"/>
            <rFont val="Arial"/>
            <family val="2"/>
          </rPr>
          <t xml:space="preserve">Logging and detection uncertain. Evidence: E4</t>
        </r>
      </text>
      <mc:AlternateContent>
        <mc:Choice Requires="v2">
          <commentPr autoFill="true" autoScale="false" colHidden="false" locked="false" rowHidden="false" textHAlign="justify" textVAlign="top">
            <anchor moveWithCells="false" sizeWithCells="false">
              <xdr:from>
                <xdr:col>1</xdr:col>
                <xdr:colOff>35</xdr:colOff>
                <xdr:row>2</xdr:row>
                <xdr:rowOff>9</xdr:rowOff>
              </xdr:from>
              <xdr:to>
                <xdr:col>2</xdr:col>
                <xdr:colOff>-265</xdr:colOff>
                <xdr:row>4</xdr:row>
                <xdr:rowOff>25</xdr:rowOff>
              </xdr:to>
            </anchor>
          </commentPr>
        </mc:Choice>
        <mc:Fallback/>
      </mc:AlternateContent>
    </comment>
    <comment ref="G8" authorId="0">
      <text>
        <r>
          <rPr>
            <sz val="10"/>
            <rFont val="Arial"/>
            <family val="2"/>
          </rPr>
          <t xml:space="preserve">Logs exist but not monitored. Evidence: E6</t>
        </r>
      </text>
      <mc:AlternateContent>
        <mc:Choice Requires="v2">
          <commentPr autoFill="true" autoScale="false" colHidden="false" locked="false" rowHidden="false" textHAlign="justify" textVAlign="top">
            <anchor moveWithCells="false" sizeWithCells="false">
              <xdr:from>
                <xdr:col>1</xdr:col>
                <xdr:colOff>35</xdr:colOff>
                <xdr:row>2</xdr:row>
                <xdr:rowOff>21</xdr:rowOff>
              </xdr:from>
              <xdr:to>
                <xdr:col>2</xdr:col>
                <xdr:colOff>-265</xdr:colOff>
                <xdr:row>5</xdr:row>
                <xdr:rowOff>5</xdr:rowOff>
              </xdr:to>
            </anchor>
          </commentPr>
        </mc:Choice>
        <mc:Fallback/>
      </mc:AlternateContent>
    </comment>
    <comment ref="G9" authorId="0">
      <text>
        <r>
          <rPr>
            <sz val="10"/>
            <rFont val="Arial"/>
            <family val="2"/>
          </rPr>
          <t xml:space="preserve">Detection of implants uncertain. Evidence: E3</t>
        </r>
      </text>
      <mc:AlternateContent>
        <mc:Choice Requires="v2">
          <commentPr autoFill="true" autoScale="false" colHidden="false" locked="false" rowHidden="false" textHAlign="justify" textVAlign="top">
            <anchor moveWithCells="false" sizeWithCells="false">
              <xdr:from>
                <xdr:col>1</xdr:col>
                <xdr:colOff>35</xdr:colOff>
                <xdr:row>3</xdr:row>
                <xdr:rowOff>1</xdr:rowOff>
              </xdr:from>
              <xdr:to>
                <xdr:col>2</xdr:col>
                <xdr:colOff>-265</xdr:colOff>
                <xdr:row>5</xdr:row>
                <xdr:rowOff>16</xdr:rowOff>
              </xdr:to>
            </anchor>
          </commentPr>
        </mc:Choice>
        <mc:Fallback/>
      </mc:AlternateContent>
    </comment>
    <comment ref="G10" authorId="0">
      <text>
        <r>
          <rPr>
            <sz val="10"/>
            <rFont val="Arial"/>
            <family val="2"/>
          </rPr>
          <t xml:space="preserve">No device monitoring or inventory evidence. Evidence: E4</t>
        </r>
      </text>
      <mc:AlternateContent>
        <mc:Choice Requires="v2">
          <commentPr autoFill="true" autoScale="false" colHidden="false" locked="false" rowHidden="false" textHAlign="justify" textVAlign="top">
            <anchor moveWithCells="false" sizeWithCells="false">
              <xdr:from>
                <xdr:col>1</xdr:col>
                <xdr:colOff>35</xdr:colOff>
                <xdr:row>3</xdr:row>
                <xdr:rowOff>1</xdr:rowOff>
              </xdr:from>
              <xdr:to>
                <xdr:col>2</xdr:col>
                <xdr:colOff>-265</xdr:colOff>
                <xdr:row>5</xdr:row>
                <xdr:rowOff>16</xdr:rowOff>
              </xdr:to>
            </anchor>
          </commentPr>
        </mc:Choice>
        <mc:Fallback/>
      </mc:AlternateContent>
    </comment>
    <comment ref="G11" authorId="0">
      <text>
        <r>
          <rPr>
            <sz val="10"/>
            <rFont val="Arial"/>
            <family val="2"/>
          </rPr>
          <t xml:space="preserve">Detection and response are the weak capability itself. Evidence: E3</t>
        </r>
      </text>
      <mc:AlternateContent>
        <mc:Choice Requires="v2">
          <commentPr autoFill="true" autoScale="false" colHidden="false" locked="false" rowHidden="false" textHAlign="justify" textVAlign="top">
            <anchor moveWithCells="false" sizeWithCells="false">
              <xdr:from>
                <xdr:col>1</xdr:col>
                <xdr:colOff>35</xdr:colOff>
                <xdr:row>3</xdr:row>
                <xdr:rowOff>13</xdr:rowOff>
              </xdr:from>
              <xdr:to>
                <xdr:col>2</xdr:col>
                <xdr:colOff>-265</xdr:colOff>
                <xdr:row>5</xdr:row>
                <xdr:rowOff>28</xdr:rowOff>
              </xdr:to>
            </anchor>
          </commentPr>
        </mc:Choice>
        <mc:Fallback/>
      </mc:AlternateContent>
    </comment>
    <comment ref="G12" authorId="0">
      <text>
        <r>
          <rPr>
            <sz val="10"/>
            <rFont val="Arial"/>
            <family val="2"/>
          </rPr>
          <t xml:space="preserve">Limited visibility into vendor activity. Evidence: E7</t>
        </r>
      </text>
      <mc:AlternateContent>
        <mc:Choice Requires="v2">
          <commentPr autoFill="true" autoScale="false" colHidden="false" locked="false" rowHidden="false" textHAlign="justify" textVAlign="top">
            <anchor moveWithCells="false" sizeWithCells="false">
              <xdr:from>
                <xdr:col>1</xdr:col>
                <xdr:colOff>35</xdr:colOff>
                <xdr:row>3</xdr:row>
                <xdr:rowOff>13</xdr:rowOff>
              </xdr:from>
              <xdr:to>
                <xdr:col>2</xdr:col>
                <xdr:colOff>-265</xdr:colOff>
                <xdr:row>5</xdr:row>
                <xdr:rowOff>28</xdr:rowOff>
              </xdr:to>
            </anchor>
          </commentPr>
        </mc:Choice>
        <mc:Fallback/>
      </mc:AlternateContent>
    </comment>
    <comment ref="G13" authorId="0">
      <text>
        <r>
          <rPr>
            <sz val="10"/>
            <rFont val="Arial"/>
            <family val="2"/>
          </rPr>
          <t xml:space="preserve">Backups exist but integrity verification absent. Evidence: E2</t>
        </r>
      </text>
      <mc:AlternateContent>
        <mc:Choice Requires="v2">
          <commentPr autoFill="true" autoScale="false" colHidden="false" locked="false" rowHidden="false" textHAlign="justify" textVAlign="top">
            <anchor moveWithCells="false" sizeWithCells="false">
              <xdr:from>
                <xdr:col>1</xdr:col>
                <xdr:colOff>35</xdr:colOff>
                <xdr:row>3</xdr:row>
                <xdr:rowOff>13</xdr:rowOff>
              </xdr:from>
              <xdr:to>
                <xdr:col>2</xdr:col>
                <xdr:colOff>-265</xdr:colOff>
                <xdr:row>5</xdr:row>
                <xdr:rowOff>28</xdr:rowOff>
              </xdr:to>
            </anchor>
          </commentPr>
        </mc:Choice>
        <mc:Fallback/>
      </mc:AlternateContent>
    </comment>
    <comment ref="H4" authorId="0">
      <text>
        <r>
          <rPr>
            <sz val="10"/>
            <rFont val="Arial"/>
            <family val="2"/>
          </rPr>
          <t xml:space="preserve">Identity is the gateway to every crown jewel.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17</xdr:rowOff>
              </xdr:from>
              <xdr:to>
                <xdr:col>2</xdr:col>
                <xdr:colOff>-265</xdr:colOff>
                <xdr:row>3</xdr:row>
                <xdr:rowOff>21</xdr:rowOff>
              </xdr:to>
            </anchor>
          </commentPr>
        </mc:Choice>
        <mc:Fallback/>
      </mc:AlternateContent>
    </comment>
    <comment ref="H5" authorId="0">
      <text>
        <r>
          <rPr>
            <sz val="10"/>
            <rFont val="Arial"/>
            <family val="2"/>
          </rPr>
          <t xml:space="preserve">EHR and scheduling underpin care delivery. Evidence: E1</t>
        </r>
      </text>
      <mc:AlternateContent>
        <mc:Choice Requires="v2">
          <commentPr autoFill="true" autoScale="false" colHidden="false" locked="false" rowHidden="false" textHAlign="justify" textVAlign="top">
            <anchor moveWithCells="false" sizeWithCells="false">
              <xdr:from>
                <xdr:col>1</xdr:col>
                <xdr:colOff>35</xdr:colOff>
                <xdr:row>1</xdr:row>
                <xdr:rowOff>6</xdr:rowOff>
              </xdr:from>
              <xdr:to>
                <xdr:col>2</xdr:col>
                <xdr:colOff>-265</xdr:colOff>
                <xdr:row>4</xdr:row>
                <xdr:rowOff>1</xdr:rowOff>
              </xdr:to>
            </anchor>
          </commentPr>
        </mc:Choice>
        <mc:Fallback/>
      </mc:AlternateContent>
    </comment>
    <comment ref="H6" authorId="0">
      <text>
        <r>
          <rPr>
            <sz val="10"/>
            <rFont val="Arial"/>
            <family val="2"/>
          </rPr>
          <t xml:space="preserve">Recoverability of every crown jewel depends on it. Evidence: E2</t>
        </r>
      </text>
      <mc:AlternateContent>
        <mc:Choice Requires="v2">
          <commentPr autoFill="true" autoScale="false" colHidden="false" locked="false" rowHidden="false" textHAlign="justify" textVAlign="top">
            <anchor moveWithCells="false" sizeWithCells="false">
              <xdr:from>
                <xdr:col>1</xdr:col>
                <xdr:colOff>35</xdr:colOff>
                <xdr:row>1</xdr:row>
                <xdr:rowOff>17</xdr:rowOff>
              </xdr:from>
              <xdr:to>
                <xdr:col>2</xdr:col>
                <xdr:colOff>-265</xdr:colOff>
                <xdr:row>4</xdr:row>
                <xdr:rowOff>13</xdr:rowOff>
              </xdr:to>
            </anchor>
          </commentPr>
        </mc:Choice>
        <mc:Fallback/>
      </mc:AlternateContent>
    </comment>
    <comment ref="H7" authorId="0">
      <text>
        <r>
          <rPr>
            <sz val="10"/>
            <rFont val="Arial"/>
            <family val="2"/>
          </rPr>
          <t xml:space="preserve">Important but not essential to same-day care. Evidence: E2</t>
        </r>
      </text>
      <mc:AlternateContent>
        <mc:Choice Requires="v2">
          <commentPr autoFill="true" autoScale="false" colHidden="false" locked="false" rowHidden="false" textHAlign="justify" textVAlign="top">
            <anchor moveWithCells="false" sizeWithCells="false">
              <xdr:from>
                <xdr:col>1</xdr:col>
                <xdr:colOff>35</xdr:colOff>
                <xdr:row>2</xdr:row>
                <xdr:rowOff>9</xdr:rowOff>
              </xdr:from>
              <xdr:to>
                <xdr:col>2</xdr:col>
                <xdr:colOff>-265</xdr:colOff>
                <xdr:row>4</xdr:row>
                <xdr:rowOff>25</xdr:rowOff>
              </xdr:to>
            </anchor>
          </commentPr>
        </mc:Choice>
        <mc:Fallback/>
      </mc:AlternateContent>
    </comment>
    <comment ref="H8" authorId="0">
      <text>
        <r>
          <rPr>
            <sz val="10"/>
            <rFont val="Arial"/>
            <family val="2"/>
          </rPr>
          <t xml:space="preserve">EHR confidentiality is core to trust. Evidence: E5</t>
        </r>
      </text>
      <mc:AlternateContent>
        <mc:Choice Requires="v2">
          <commentPr autoFill="true" autoScale="false" colHidden="false" locked="false" rowHidden="false" textHAlign="justify" textVAlign="top">
            <anchor moveWithCells="false" sizeWithCells="false">
              <xdr:from>
                <xdr:col>1</xdr:col>
                <xdr:colOff>35</xdr:colOff>
                <xdr:row>2</xdr:row>
                <xdr:rowOff>21</xdr:rowOff>
              </xdr:from>
              <xdr:to>
                <xdr:col>2</xdr:col>
                <xdr:colOff>-265</xdr:colOff>
                <xdr:row>5</xdr:row>
                <xdr:rowOff>5</xdr:rowOff>
              </xdr:to>
            </anchor>
          </commentPr>
        </mc:Choice>
        <mc:Fallback/>
      </mc:AlternateContent>
    </comment>
    <comment ref="H9" authorId="0">
      <text>
        <r>
          <rPr>
            <sz val="10"/>
            <rFont val="Arial"/>
            <family val="2"/>
          </rPr>
          <t xml:space="preserve">Remote access and perimeter serve all clinics. Evidence: E2</t>
        </r>
      </text>
      <mc:AlternateContent>
        <mc:Choice Requires="v2">
          <commentPr autoFill="true" autoScale="false" colHidden="false" locked="false" rowHidden="false" textHAlign="justify" textVAlign="top">
            <anchor moveWithCells="false" sizeWithCells="false">
              <xdr:from>
                <xdr:col>1</xdr:col>
                <xdr:colOff>35</xdr:colOff>
                <xdr:row>3</xdr:row>
                <xdr:rowOff>1</xdr:rowOff>
              </xdr:from>
              <xdr:to>
                <xdr:col>2</xdr:col>
                <xdr:colOff>-265</xdr:colOff>
                <xdr:row>5</xdr:row>
                <xdr:rowOff>16</xdr:rowOff>
              </xdr:to>
            </anchor>
          </commentPr>
        </mc:Choice>
        <mc:Fallback/>
      </mc:AlternateContent>
    </comment>
    <comment ref="H10" authorId="0">
      <text>
        <r>
          <rPr>
            <sz val="10"/>
            <rFont val="Arial"/>
            <family val="2"/>
          </rPr>
          <t xml:space="preserve">Direct link to patient safety. Evidence: E5</t>
        </r>
      </text>
      <mc:AlternateContent>
        <mc:Choice Requires="v2">
          <commentPr autoFill="true" autoScale="false" colHidden="false" locked="false" rowHidden="false" textHAlign="justify" textVAlign="top">
            <anchor moveWithCells="false" sizeWithCells="false">
              <xdr:from>
                <xdr:col>1</xdr:col>
                <xdr:colOff>35</xdr:colOff>
                <xdr:row>3</xdr:row>
                <xdr:rowOff>1</xdr:rowOff>
              </xdr:from>
              <xdr:to>
                <xdr:col>2</xdr:col>
                <xdr:colOff>-265</xdr:colOff>
                <xdr:row>5</xdr:row>
                <xdr:rowOff>16</xdr:rowOff>
              </xdr:to>
            </anchor>
          </commentPr>
        </mc:Choice>
        <mc:Fallback/>
      </mc:AlternateContent>
    </comment>
    <comment ref="H11" authorId="0">
      <text>
        <r>
          <rPr>
            <sz val="10"/>
            <rFont val="Arial"/>
            <family val="2"/>
          </rPr>
          <t xml:space="preserve">Response capacity protects every service. Evidence: E1</t>
        </r>
      </text>
      <mc:AlternateContent>
        <mc:Choice Requires="v2">
          <commentPr autoFill="true" autoScale="false" colHidden="false" locked="false" rowHidden="false" textHAlign="justify" textVAlign="top">
            <anchor moveWithCells="false" sizeWithCells="false">
              <xdr:from>
                <xdr:col>1</xdr:col>
                <xdr:colOff>35</xdr:colOff>
                <xdr:row>3</xdr:row>
                <xdr:rowOff>13</xdr:rowOff>
              </xdr:from>
              <xdr:to>
                <xdr:col>2</xdr:col>
                <xdr:colOff>-265</xdr:colOff>
                <xdr:row>5</xdr:row>
                <xdr:rowOff>28</xdr:rowOff>
              </xdr:to>
            </anchor>
          </commentPr>
        </mc:Choice>
        <mc:Fallback/>
      </mc:AlternateContent>
    </comment>
    <comment ref="H12" authorId="0">
      <text>
        <r>
          <rPr>
            <sz val="10"/>
            <rFont val="Arial"/>
            <family val="2"/>
          </rPr>
          <t xml:space="preserve">Vendors support crown-jewel systems. Evidence: E2</t>
        </r>
      </text>
      <mc:AlternateContent>
        <mc:Choice Requires="v2">
          <commentPr autoFill="true" autoScale="false" colHidden="false" locked="false" rowHidden="false" textHAlign="justify" textVAlign="top">
            <anchor moveWithCells="false" sizeWithCells="false">
              <xdr:from>
                <xdr:col>1</xdr:col>
                <xdr:colOff>35</xdr:colOff>
                <xdr:row>3</xdr:row>
                <xdr:rowOff>13</xdr:rowOff>
              </xdr:from>
              <xdr:to>
                <xdr:col>2</xdr:col>
                <xdr:colOff>-265</xdr:colOff>
                <xdr:row>5</xdr:row>
                <xdr:rowOff>28</xdr:rowOff>
              </xdr:to>
            </anchor>
          </commentPr>
        </mc:Choice>
        <mc:Fallback/>
      </mc:AlternateContent>
    </comment>
    <comment ref="H13" authorId="0">
      <text>
        <r>
          <rPr>
            <sz val="10"/>
            <rFont val="Arial"/>
            <family val="2"/>
          </rPr>
          <t xml:space="preserve">Clinical record integrity underpins safe care. Evidence: E1</t>
        </r>
      </text>
      <mc:AlternateContent>
        <mc:Choice Requires="v2">
          <commentPr autoFill="true" autoScale="false" colHidden="false" locked="false" rowHidden="false" textHAlign="justify" textVAlign="top">
            <anchor moveWithCells="false" sizeWithCells="false">
              <xdr:from>
                <xdr:col>1</xdr:col>
                <xdr:colOff>35</xdr:colOff>
                <xdr:row>3</xdr:row>
                <xdr:rowOff>13</xdr:rowOff>
              </xdr:from>
              <xdr:to>
                <xdr:col>2</xdr:col>
                <xdr:colOff>-265</xdr:colOff>
                <xdr:row>5</xdr:row>
                <xdr:rowOff>28</xdr:rowOff>
              </xdr:to>
            </anchor>
          </commentPr>
        </mc:Choice>
        <mc:Fallback/>
      </mc:AlternateContent>
    </comment>
    <comment ref="J4" authorId="0">
      <text>
        <r>
          <rPr>
            <sz val="10"/>
            <rFont val="Arial"/>
            <family val="2"/>
          </rPr>
          <t xml:space="preserve">Representative weakness: remote-access authentication accepting MFA push approval (CWE-308-type single-channel weakness). AV:N internet-reachable gateway; AC:L no special conditions; AT:N; PR:N attacker starts unauthenticated; UI:A user must actively approve; VC/VI:H full session on gateway; VA:N; SC:H EHR data behind the gateway; SI:L/SA:L limited downstream change/disruption. Applicability: moderate - human factor dominates.</t>
        </r>
      </text>
      <mc:AlternateContent>
        <mc:Choice Requires="v2">
          <commentPr autoFill="true" autoScale="false" colHidden="false" locked="false" rowHidden="false" textHAlign="justify" textVAlign="top">
            <anchor moveWithCells="false" sizeWithCells="false">
              <xdr:from>
                <xdr:col>1</xdr:col>
                <xdr:colOff>35</xdr:colOff>
                <xdr:row>0</xdr:row>
                <xdr:rowOff>17</xdr:rowOff>
              </xdr:from>
              <xdr:to>
                <xdr:col>2</xdr:col>
                <xdr:colOff>-265</xdr:colOff>
                <xdr:row>13</xdr:row>
                <xdr:rowOff>10</xdr:rowOff>
              </xdr:to>
            </anchor>
          </commentPr>
        </mc:Choice>
        <mc:Fallback/>
      </mc:AlternateContent>
    </comment>
    <comment ref="J5" authorId="0">
      <text>
        <r>
          <rPr>
            <sz val="10"/>
            <rFont val="Arial"/>
            <family val="2"/>
          </rPr>
          <t xml:space="preserve">Representative weakness: malicious macro document leading to code execution (initial vector in E6). AV:L - the document is delivered by e-mail but opened locally on the workstation (FIRST CVSS v4.0 user guide: document-based weaknesses are Local whatever the delivery channel); AC:L; AT:N; PR:N; UI:P user opens the document; VC/VI/VA:H on the workstation; SC/SI/SA:H because EHR and clinic systems are subsequently affected. CVSS describes the entry weakness only, not the enterprise impact.</t>
        </r>
      </text>
      <mc:AlternateContent>
        <mc:Choice Requires="v2">
          <commentPr autoFill="true" autoScale="false" colHidden="false" locked="false" rowHidden="false" textHAlign="justify" textVAlign="top">
            <anchor moveWithCells="false" sizeWithCells="false">
              <xdr:from>
                <xdr:col>1</xdr:col>
                <xdr:colOff>35</xdr:colOff>
                <xdr:row>1</xdr:row>
                <xdr:rowOff>6</xdr:rowOff>
              </xdr:from>
              <xdr:to>
                <xdr:col>2</xdr:col>
                <xdr:colOff>-265</xdr:colOff>
                <xdr:row>17</xdr:row>
                <xdr:rowOff>2</xdr:rowOff>
              </xdr:to>
            </anchor>
          </commentPr>
        </mc:Choice>
        <mc:Fallback/>
      </mc:AlternateContent>
    </comment>
    <comment ref="J6" authorId="0">
      <text>
        <r>
          <rPr>
            <sz val="10"/>
            <rFont val="Arial"/>
            <family val="2"/>
          </rPr>
          <t xml:space="preserve">Representative weakness: backup management console reachable from production network and trusting production administrator accounts. PR:H attacker already holds admin credentials; VC/VI/VA:H on the backup system; SA:H because recovery of all subsequent systems is lost.</t>
        </r>
      </text>
      <mc:AlternateContent>
        <mc:Choice Requires="v2">
          <commentPr autoFill="true" autoScale="false" colHidden="false" locked="false" rowHidden="false" textHAlign="justify" textVAlign="top">
            <anchor moveWithCells="false" sizeWithCells="false">
              <xdr:from>
                <xdr:col>1</xdr:col>
                <xdr:colOff>35</xdr:colOff>
                <xdr:row>1</xdr:row>
                <xdr:rowOff>17</xdr:rowOff>
              </xdr:from>
              <xdr:to>
                <xdr:col>2</xdr:col>
                <xdr:colOff>-265</xdr:colOff>
                <xdr:row>9</xdr:row>
                <xdr:rowOff>18</xdr:rowOff>
              </xdr:to>
            </anchor>
          </commentPr>
        </mc:Choice>
        <mc:Fallback/>
      </mc:AlternateContent>
    </comment>
    <comment ref="J7" authorId="0">
      <text>
        <r>
          <rPr>
            <sz val="10"/>
            <rFont val="Arial"/>
            <family val="2"/>
          </rPr>
          <t xml:space="preserve">Representative weakness: storage object accessible without authentication (CWE-284 misconfiguration). AV:N, AC:L, AT:N, PR:N, UI:N; confidentiality only (VC:H).</t>
        </r>
      </text>
      <mc:AlternateContent>
        <mc:Choice Requires="v2">
          <commentPr autoFill="true" autoScale="false" colHidden="false" locked="false" rowHidden="false" textHAlign="justify" textVAlign="top">
            <anchor moveWithCells="false" sizeWithCells="false">
              <xdr:from>
                <xdr:col>1</xdr:col>
                <xdr:colOff>35</xdr:colOff>
                <xdr:row>2</xdr:row>
                <xdr:rowOff>9</xdr:rowOff>
              </xdr:from>
              <xdr:to>
                <xdr:col>2</xdr:col>
                <xdr:colOff>-265</xdr:colOff>
                <xdr:row>7</xdr:row>
                <xdr:rowOff>7</xdr:rowOff>
              </xdr:to>
            </anchor>
          </commentPr>
        </mc:Choice>
        <mc:Fallback/>
      </mc:AlternateContent>
    </comment>
    <comment ref="J8" authorId="0">
      <text>
        <r>
          <rPr>
            <sz val="10"/>
            <rFont val="Arial"/>
            <family val="2"/>
          </rPr>
          <t xml:space="preserve">Limited applicability: insider misuse is not a software vulnerability. Representative weakness used for the workbook: excessive privileges on an authenticated account (CWE-269). PR:L legitimate low-privilege access; VC:H bulk read; VI:L. Interpret with caution.</t>
        </r>
      </text>
      <mc:AlternateContent>
        <mc:Choice Requires="v2">
          <commentPr autoFill="true" autoScale="false" colHidden="false" locked="false" rowHidden="false" textHAlign="justify" textVAlign="top">
            <anchor moveWithCells="false" sizeWithCells="false">
              <xdr:from>
                <xdr:col>1</xdr:col>
                <xdr:colOff>35</xdr:colOff>
                <xdr:row>2</xdr:row>
                <xdr:rowOff>21</xdr:rowOff>
              </xdr:from>
              <xdr:to>
                <xdr:col>2</xdr:col>
                <xdr:colOff>-265</xdr:colOff>
                <xdr:row>9</xdr:row>
                <xdr:rowOff>12</xdr:rowOff>
              </xdr:to>
            </anchor>
          </commentPr>
        </mc:Choice>
        <mc:Fallback/>
      </mc:AlternateContent>
    </comment>
    <comment ref="J9" authorId="0">
      <text>
        <r>
          <rPr>
            <sz val="10"/>
            <rFont val="Arial"/>
            <family val="2"/>
          </rPr>
          <t xml:space="preserve">Representative weakness: unauthenticated remote code execution in an internet-facing gateway (typical of known-exploited edge vulnerabilities). All impacts High because the gateway fronts the internal network. Replace with the actual CVE vector once scan data is available.</t>
        </r>
      </text>
      <mc:AlternateContent>
        <mc:Choice Requires="v2">
          <commentPr autoFill="true" autoScale="false" colHidden="false" locked="false" rowHidden="false" textHAlign="justify" textVAlign="top">
            <anchor moveWithCells="false" sizeWithCells="false">
              <xdr:from>
                <xdr:col>1</xdr:col>
                <xdr:colOff>35</xdr:colOff>
                <xdr:row>3</xdr:row>
                <xdr:rowOff>1</xdr:rowOff>
              </xdr:from>
              <xdr:to>
                <xdr:col>2</xdr:col>
                <xdr:colOff>-265</xdr:colOff>
                <xdr:row>11</xdr:row>
                <xdr:rowOff>2</xdr:rowOff>
              </xdr:to>
            </anchor>
          </commentPr>
        </mc:Choice>
        <mc:Fallback/>
      </mc:AlternateContent>
    </comment>
    <comment ref="J10" authorId="0">
      <text>
        <r>
          <rPr>
            <sz val="10"/>
            <rFont val="Arial"/>
            <family val="2"/>
          </rPr>
          <t xml:space="preserve">Representative weakness: unpatched embedded service or default credential on a networked device. AV:A reachable from the clinic LAN/Wi-Fi only; PR:N; full device impact; SC/SI/SA:L onward effects. CVSS supplemental metric Safety (S:P) would apply but is not part of the base score.</t>
        </r>
      </text>
      <mc:AlternateContent>
        <mc:Choice Requires="v2">
          <commentPr autoFill="true" autoScale="false" colHidden="false" locked="false" rowHidden="false" textHAlign="justify" textVAlign="top">
            <anchor moveWithCells="false" sizeWithCells="false">
              <xdr:from>
                <xdr:col>1</xdr:col>
                <xdr:colOff>35</xdr:colOff>
                <xdr:row>3</xdr:row>
                <xdr:rowOff>1</xdr:rowOff>
              </xdr:from>
              <xdr:to>
                <xdr:col>2</xdr:col>
                <xdr:colOff>-265</xdr:colOff>
                <xdr:row>10</xdr:row>
                <xdr:rowOff>7</xdr:rowOff>
              </xdr:to>
            </anchor>
          </commentPr>
        </mc:Choice>
        <mc:Fallback/>
      </mc:AlternateContent>
    </comment>
    <comment ref="J11" authorId="0">
      <text>
        <r>
          <rPr>
            <sz val="10"/>
            <rFont val="Arial"/>
            <family val="2"/>
          </rPr>
          <t xml:space="preserve">Limited applicability: a detection gap is a control weakness, not a vulnerability. Representative weakness for the workbook: the undetected initial code-execution vector (macro/PowerShell, E6); AV:L because the malicious document is opened locally. Do not interpret the score as the severity of the detection gap.</t>
        </r>
      </text>
      <mc:AlternateContent>
        <mc:Choice Requires="v2">
          <commentPr autoFill="true" autoScale="false" colHidden="false" locked="false" rowHidden="false" textHAlign="justify" textVAlign="top">
            <anchor moveWithCells="false" sizeWithCells="false">
              <xdr:from>
                <xdr:col>1</xdr:col>
                <xdr:colOff>35</xdr:colOff>
                <xdr:row>3</xdr:row>
                <xdr:rowOff>13</xdr:rowOff>
              </xdr:from>
              <xdr:to>
                <xdr:col>2</xdr:col>
                <xdr:colOff>-265</xdr:colOff>
                <xdr:row>12</xdr:row>
                <xdr:rowOff>8</xdr:rowOff>
              </xdr:to>
            </anchor>
          </commentPr>
        </mc:Choice>
        <mc:Fallback/>
      </mc:AlternateContent>
    </comment>
    <comment ref="J12" authorId="0">
      <text>
        <r>
          <rPr>
            <sz val="10"/>
            <rFont val="Arial"/>
            <family val="2"/>
          </rPr>
          <t xml:space="preserve">Limited applicability: supplier concentration is not a single vulnerability. Representative weakness: standing authenticated remote-access channel. AT:P the vendor must first be compromised; PR:L vendor account; full impacts. Validate against actual vendor access design.</t>
        </r>
      </text>
      <mc:AlternateContent>
        <mc:Choice Requires="v2">
          <commentPr autoFill="true" autoScale="false" colHidden="false" locked="false" rowHidden="false" textHAlign="justify" textVAlign="top">
            <anchor moveWithCells="false" sizeWithCells="false">
              <xdr:from>
                <xdr:col>1</xdr:col>
                <xdr:colOff>35</xdr:colOff>
                <xdr:row>3</xdr:row>
                <xdr:rowOff>13</xdr:rowOff>
              </xdr:from>
              <xdr:to>
                <xdr:col>2</xdr:col>
                <xdr:colOff>-265</xdr:colOff>
                <xdr:row>10</xdr:row>
                <xdr:rowOff>19</xdr:rowOff>
              </xdr:to>
            </anchor>
          </commentPr>
        </mc:Choice>
        <mc:Fallback/>
      </mc:AlternateContent>
    </comment>
    <comment ref="J13" authorId="0">
      <text>
        <r>
          <rPr>
            <sz val="10"/>
            <rFont val="Arial"/>
            <family val="2"/>
          </rPr>
          <t xml:space="preserve">Representative weakness: authenticated user able to modify records beyond need (improper authorization, CWE-285). PR:L; VI:H; SI:H because pharmacy/lab downstream systems consume the altered data.</t>
        </r>
      </text>
      <mc:AlternateContent>
        <mc:Choice Requires="v2">
          <commentPr autoFill="true" autoScale="false" colHidden="false" locked="false" rowHidden="false" textHAlign="justify" textVAlign="top">
            <anchor moveWithCells="false" sizeWithCells="false">
              <xdr:from>
                <xdr:col>1</xdr:col>
                <xdr:colOff>35</xdr:colOff>
                <xdr:row>3</xdr:row>
                <xdr:rowOff>13</xdr:rowOff>
              </xdr:from>
              <xdr:to>
                <xdr:col>2</xdr:col>
                <xdr:colOff>-265</xdr:colOff>
                <xdr:row>9</xdr:row>
                <xdr:rowOff>21</xdr:rowOff>
              </xdr:to>
            </anchor>
          </commentPr>
        </mc:Choice>
        <mc:Fallback/>
      </mc:AlternateContent>
    </comment>
  </commentList>
</comments>
</file>

<file path=xl/sharedStrings.xml><?xml version="1.0" encoding="utf-8"?>
<sst xmlns="http://schemas.openxmlformats.org/spreadsheetml/2006/main" count="897" uniqueCount="634">
  <si>
    <t xml:space="preserve">MediBec - CyberRiskGuardian Risk Assessment Workbook</t>
  </si>
  <si>
    <t xml:space="preserve">Assessment period: next 12 months (October 2026 - September 2027). Currency: CAD. Cost basis: Year-1 = initial implementation + first-year recurring.</t>
  </si>
  <si>
    <t xml:space="preserve">Source: MediBec Business Case v2.0b (fictional teaching case, M.-A. Leger) and CyberRiskGuardian Excel Guide v1.0c formulas.</t>
  </si>
  <si>
    <t xml:space="preserve">All parameter values, CVSS vectors, costs and reductions are ANALYTICAL ESTIMATES — VALIDATION REQUIRED. Scores are relative decision-support indicators, not loss predictions.</t>
  </si>
  <si>
    <t xml:space="preserve">Colour legend:  blue text = input you may edit  |  black = formula  |  green = link to another sheet  |  yellow fill = key assumption.</t>
  </si>
  <si>
    <t xml:space="preserve">Sheets:</t>
  </si>
  <si>
    <t xml:space="preserve">  Parameters  - risk appetite, multiplication factor, tolerance band (edit here).</t>
  </si>
  <si>
    <t xml:space="preserve">  Inputs      - S1-S10 quantitative parameters, CVSS v4.0 vector/score, reductions, confidence.</t>
  </si>
  <si>
    <t xml:space="preserve">  Analyse     - estimated, tolerated, mitigated, residual risk, ratio, classification, cost-effectiveness (live formulas).</t>
  </si>
  <si>
    <t xml:space="preserve">  Portfolio   - 13 initiatives, costs and scenario mapping; shared costs split equally across scenarios addressed (no double-counting).</t>
  </si>
  <si>
    <t xml:space="preserve">  Sensitivity - lower / central / higher cases for five key scenarios (all parameters shifted by +/- delta).</t>
  </si>
  <si>
    <t xml:space="preserve">  Case_View   - case-native escalation view (s.8 of the case): T x E x I x (1 - C), with the 0.25 / 0.40 escalation thresholds.</t>
  </si>
  <si>
    <t xml:space="preserve">  Candidates, Scenarios, KRIs, Evidence - supporting registers.</t>
  </si>
  <si>
    <t xml:space="preserve">Formulas (Excel Guide v1.0c, s.11):</t>
  </si>
  <si>
    <t xml:space="preserve">  Estimated = Pb(A) x Pb(psi,A) x CVSS x ((de + dm)/2) x mu(E) / theta x Factor</t>
  </si>
  <si>
    <t xml:space="preserve">  Tolerated = Pb(A) x Pb(psi,A) x CVSS x Appetite x mu(E) / theta x Factor</t>
  </si>
  <si>
    <t xml:space="preserve">  Mitigated = Estimated x ProbabilityReduction x ImpactReduction ;  Residual = Estimated - Mitigated</t>
  </si>
  <si>
    <t xml:space="preserve">  Ratio = Residual / Tolerated ;  Cost-effectiveness = (Estimated - Residual) / Cost x 1000</t>
  </si>
  <si>
    <t xml:space="preserve">Note: Residual = Estimated - Mitigated; the corrected template guards it with MAX(0, L - R) (never ABS). Both reductions are kept within 0-1, so L - R is always &gt;= 0; a validity check column is included.</t>
  </si>
  <si>
    <t xml:space="preserve">How to use: change blue cells on Parameters / Inputs / Portfolio, then recalculate (Formulas &gt; Calculate Now if manual).</t>
  </si>
  <si>
    <t xml:space="preserve">Analyse - CyberRiskGuardian risk indices (Excel Guide v1.0c formulas; not KRIs)</t>
  </si>
  <si>
    <t xml:space="preserve">Green = linked from Inputs / Portfolio / Parameters; black = formula.</t>
  </si>
  <si>
    <t xml:space="preserve">ID</t>
  </si>
  <si>
    <t xml:space="preserve">Scenario</t>
  </si>
  <si>
    <t xml:space="preserve">Pb(A)</t>
  </si>
  <si>
    <t xml:space="preserve">Pb(psi,A)</t>
  </si>
  <si>
    <t xml:space="preserve">CVSS-B</t>
  </si>
  <si>
    <t xml:space="preserve">de</t>
  </si>
  <si>
    <t xml:space="preserve">dm</t>
  </si>
  <si>
    <t xml:space="preserve">mu(E)</t>
  </si>
  <si>
    <t xml:space="preserve">theta</t>
  </si>
  <si>
    <t xml:space="preserve">Appetite</t>
  </si>
  <si>
    <t xml:space="preserve">Factor</t>
  </si>
  <si>
    <t xml:space="preserve">Estimated risk</t>
  </si>
  <si>
    <t xml:space="preserve">Tolerated risk</t>
  </si>
  <si>
    <t xml:space="preserve">Pre-treatment ratio</t>
  </si>
  <si>
    <t xml:space="preserve">Allocated Y1 cost</t>
  </si>
  <si>
    <t xml:space="preserve">Prob. reduction</t>
  </si>
  <si>
    <t xml:space="preserve">Impact reduction</t>
  </si>
  <si>
    <t xml:space="preserve">Mitigated</t>
  </si>
  <si>
    <t xml:space="preserve">Residual</t>
  </si>
  <si>
    <t xml:space="preserve">Residual / Tolerated</t>
  </si>
  <si>
    <t xml:space="preserve">Classification</t>
  </si>
  <si>
    <t xml:space="preserve">Cost-effectiveness (per $1k)</t>
  </si>
  <si>
    <t xml:space="preserve">Validity (P,Q in 0-1)</t>
  </si>
  <si>
    <t xml:space="preserve">Portfolio totals</t>
  </si>
  <si>
    <t xml:space="preserve">Interpretation: Residual/Tolerated simplifies to ((de+dm)/2) x (1 - P x Q) / Appetite - CVSS, probabilities, resilience and criticality scale magnitude (ranking) but cancel out of the tolerance test.</t>
  </si>
  <si>
    <t xml:space="preserve">Global parameters</t>
  </si>
  <si>
    <t xml:space="preserve">Parameter</t>
  </si>
  <si>
    <t xml:space="preserve">Value</t>
  </si>
  <si>
    <t xml:space="preserve">Source / note</t>
  </si>
  <si>
    <t xml:space="preserve">Risk appetite (analyst estimate)</t>
  </si>
  <si>
    <t xml:space="preserve">Analytical estimate — validation required. Case states 0.40 normalized tolerance; see report s.4.</t>
  </si>
  <si>
    <t xml:space="preserve">Multiplication factor</t>
  </si>
  <si>
    <t xml:space="preserve">Constant across all scenarios (Excel Guide worked example).</t>
  </si>
  <si>
    <t xml:space="preserve">Tolerance band - lower bound of 'approximately at'</t>
  </si>
  <si>
    <t xml:space="preserve">Ratio &lt; this = below tolerance</t>
  </si>
  <si>
    <t xml:space="preserve">Tolerance band - upper bound of 'approximately at'</t>
  </si>
  <si>
    <t xml:space="preserve">Ratio &gt; this = above tolerance</t>
  </si>
  <si>
    <t xml:space="preserve">Case appetite (for comparison)</t>
  </si>
  <si>
    <t xml:space="preserve">Business case s.8</t>
  </si>
  <si>
    <t xml:space="preserve">Sensitivity delta</t>
  </si>
  <si>
    <t xml:space="preserve">Shift applied in Sensitivity sheet</t>
  </si>
  <si>
    <t xml:space="preserve">Case escalation - executive review threshold</t>
  </si>
  <si>
    <t xml:space="preserve">Case escalation - Board acceptance threshold</t>
  </si>
  <si>
    <t xml:space="preserve">Scenario inputs (0-1 scale unless stated) - Analytical estimates — validation required</t>
  </si>
  <si>
    <t xml:space="preserve">CVSS v4.0 vector</t>
  </si>
  <si>
    <t xml:space="preserve">Conf Pb(A)</t>
  </si>
  <si>
    <t xml:space="preserve">Conf Pb(psi,A)</t>
  </si>
  <si>
    <t xml:space="preserve">Conf de</t>
  </si>
  <si>
    <t xml:space="preserve">Conf dm</t>
  </si>
  <si>
    <t xml:space="preserve">Conf theta</t>
  </si>
  <si>
    <t xml:space="preserve">Conf mu</t>
  </si>
  <si>
    <t xml:space="preserve">S1</t>
  </si>
  <si>
    <t xml:space="preserve">Credential compromise of clinical administrator accounts through phishing and MFA fatigue</t>
  </si>
  <si>
    <t xml:space="preserve">CVSS:4.0/AV:N/AC:L/AT:N/PR:N/UI:A/VC:H/VI:H/VA:N/SC:H/SI:L/SA:L</t>
  </si>
  <si>
    <t xml:space="preserve">Medium</t>
  </si>
  <si>
    <t xml:space="preserve">Low</t>
  </si>
  <si>
    <t xml:space="preserve">High</t>
  </si>
  <si>
    <t xml:space="preserve">S2</t>
  </si>
  <si>
    <t xml:space="preserve">Ransomware disrupting EHR access and clinic operations across the network</t>
  </si>
  <si>
    <t xml:space="preserve">CVSS:4.0/AV:L/AC:L/AT:N/PR:N/UI:P/VC:H/VI:H/VA:H/SC:H/SI:H/SA:H</t>
  </si>
  <si>
    <t xml:space="preserve">S3</t>
  </si>
  <si>
    <t xml:space="preserve">Backup environment compromised, preventing recovery after a destructive attack</t>
  </si>
  <si>
    <t xml:space="preserve">CVSS:4.0/AV:N/AC:L/AT:N/PR:H/UI:N/VC:H/VI:H/VA:H/SC:N/SI:N/SA:H</t>
  </si>
  <si>
    <t xml:space="preserve">S4</t>
  </si>
  <si>
    <t xml:space="preserve">Cloud medical-image transfer storage exposed, enabling bulk health-data exfiltration</t>
  </si>
  <si>
    <t xml:space="preserve">CVSS:4.0/AV:N/AC:L/AT:N/PR:N/UI:N/VC:H/VI:N/VA:N/SC:N/SI:N/SA:N</t>
  </si>
  <si>
    <t xml:space="preserve">S5</t>
  </si>
  <si>
    <t xml:space="preserve">Misuse of legitimate clinical, privileged or service-account access to extract patient records</t>
  </si>
  <si>
    <t xml:space="preserve">CVSS:4.0/AV:N/AC:L/AT:N/PR:L/UI:N/VC:H/VI:L/VA:N/SC:N/SI:N/SA:N</t>
  </si>
  <si>
    <t xml:space="preserve">S6</t>
  </si>
  <si>
    <t xml:space="preserve">Exploitation of unpatched internet-facing or end-of-life systems</t>
  </si>
  <si>
    <t xml:space="preserve">CVSS:4.0/AV:N/AC:L/AT:N/PR:N/UI:N/VC:H/VI:H/VA:H/SC:H/SI:H/SA:H</t>
  </si>
  <si>
    <t xml:space="preserve">S7</t>
  </si>
  <si>
    <t xml:space="preserve">Connected medical device used as a foothold to disrupt clinical equipment and reach the EHR network</t>
  </si>
  <si>
    <t xml:space="preserve">CVSS:4.0/AV:A/AC:L/AT:N/PR:N/UI:N/VC:H/VI:H/VA:H/SC:L/SI:L/SA:L</t>
  </si>
  <si>
    <t xml:space="preserve">S8</t>
  </si>
  <si>
    <t xml:space="preserve">Detection and response gaps allow an intrusion to persist and escalate</t>
  </si>
  <si>
    <t xml:space="preserve">CVSS:4.0/AV:L/AC:L/AT:N/PR:N/UI:P/VC:H/VI:H/VA:L/SC:H/SI:L/SA:L</t>
  </si>
  <si>
    <t xml:space="preserve">S9</t>
  </si>
  <si>
    <t xml:space="preserve">Compromise of a critical vendor with remote access to MediBec systems</t>
  </si>
  <si>
    <t xml:space="preserve">CVSS:4.0/AV:N/AC:L/AT:P/PR:L/UI:N/VC:H/VI:H/VA:H/SC:H/SI:H/SA:H</t>
  </si>
  <si>
    <t xml:space="preserve">S10</t>
  </si>
  <si>
    <t xml:space="preserve">Manipulation of patient, medication or billing records undermining clinical decisions</t>
  </si>
  <si>
    <t xml:space="preserve">CVSS:4.0/AV:N/AC:L/AT:N/PR:L/UI:N/VC:L/VI:H/VA:N/SC:N/SI:H/SA:N</t>
  </si>
  <si>
    <t xml:space="preserve">Recommended treatment portfolio (indicative CAD estimates - not quotations or approved budgets)</t>
  </si>
  <si>
    <t xml:space="preserve">Initiative</t>
  </si>
  <si>
    <t xml:space="preserve">Owner</t>
  </si>
  <si>
    <t xml:space="preserve">Priority</t>
  </si>
  <si>
    <t xml:space="preserve">Type</t>
  </si>
  <si>
    <t xml:space="preserve">Initial cost</t>
  </si>
  <si>
    <t xml:space="preserve">Recurring / yr</t>
  </si>
  <si>
    <t xml:space="preserve">Year-1 cost</t>
  </si>
  <si>
    <t xml:space="preserve"># scenarios</t>
  </si>
  <si>
    <t xml:space="preserve">Y1 per scenario</t>
  </si>
  <si>
    <t xml:space="preserve">Start</t>
  </si>
  <si>
    <t xml:space="preserve">End</t>
  </si>
  <si>
    <t xml:space="preserve">Success indicator</t>
  </si>
  <si>
    <t xml:space="preserve">I01</t>
  </si>
  <si>
    <t xml:space="preserve">Phishing-resistant MFA and conditional access</t>
  </si>
  <si>
    <t xml:space="preserve">CIO / Cybersecurity lead</t>
  </si>
  <si>
    <t xml:space="preserve">Immediate</t>
  </si>
  <si>
    <t xml:space="preserve">Prevention</t>
  </si>
  <si>
    <t xml:space="preserve">Month 0</t>
  </si>
  <si>
    <t xml:space="preserve">Month 6</t>
  </si>
  <si>
    <t xml:space="preserve">100% privileged and remote-access accounts on phishing-resistant MFA</t>
  </si>
  <si>
    <t xml:space="preserve">I02</t>
  </si>
  <si>
    <t xml:space="preserve">Privileged access and service-account management (PAM)</t>
  </si>
  <si>
    <t xml:space="preserve">Cybersecurity lead</t>
  </si>
  <si>
    <t xml:space="preserve">Near-term</t>
  </si>
  <si>
    <t xml:space="preserve">Prevention / Governance</t>
  </si>
  <si>
    <t xml:space="preserve">Month 2</t>
  </si>
  <si>
    <t xml:space="preserve">Month 12</t>
  </si>
  <si>
    <t xml:space="preserve">0 standing domain-admin accounts; 100% service accounts vaulted</t>
  </si>
  <si>
    <t xml:space="preserve">I03</t>
  </si>
  <si>
    <t xml:space="preserve">24/7 managed detection and response with centralized logging</t>
  </si>
  <si>
    <t xml:space="preserve">Detection / Response</t>
  </si>
  <si>
    <t xml:space="preserve">MTTD &lt; 1 h, MTTC &lt; 4 h for high-severity alerts; &gt;95% critical log sources</t>
  </si>
  <si>
    <t xml:space="preserve">I04</t>
  </si>
  <si>
    <t xml:space="preserve">Immutable and isolated backup with tested recovery</t>
  </si>
  <si>
    <t xml:space="preserve">CIO (Infrastructure)</t>
  </si>
  <si>
    <t xml:space="preserve">Recovery / Resilience</t>
  </si>
  <si>
    <t xml:space="preserve">Month 9</t>
  </si>
  <si>
    <t xml:space="preserve">100% crown-jewel restore tests pass within RTO</t>
  </si>
  <si>
    <t xml:space="preserve">I05</t>
  </si>
  <si>
    <t xml:space="preserve">Risk-based vulnerability and patch management</t>
  </si>
  <si>
    <t xml:space="preserve">Month 1</t>
  </si>
  <si>
    <t xml:space="preserve">&gt;95% critical vulns remediated within SLA; 0 unsupported internet-facing systems</t>
  </si>
  <si>
    <t xml:space="preserve">I06</t>
  </si>
  <si>
    <t xml:space="preserve">Network segmentation and network access control</t>
  </si>
  <si>
    <t xml:space="preserve">Planned</t>
  </si>
  <si>
    <t xml:space="preserve">Prevention / Resilience</t>
  </si>
  <si>
    <t xml:space="preserve">Month 24</t>
  </si>
  <si>
    <t xml:space="preserve">100% medical devices and guest Wi-Fi in isolated segments</t>
  </si>
  <si>
    <t xml:space="preserve">I07</t>
  </si>
  <si>
    <t xml:space="preserve">Medical device security programme</t>
  </si>
  <si>
    <t xml:space="preserve">Biomedical engineering / Clinical Ops</t>
  </si>
  <si>
    <t xml:space="preserve">Identify / Detection</t>
  </si>
  <si>
    <t xml:space="preserve">Month 3</t>
  </si>
  <si>
    <t xml:space="preserve">100% networked devices inventoried and risk-rated</t>
  </si>
  <si>
    <t xml:space="preserve">I08</t>
  </si>
  <si>
    <t xml:space="preserve">Cloud security posture and secure image transfer</t>
  </si>
  <si>
    <t xml:space="preserve">CIO / Radiology lead</t>
  </si>
  <si>
    <t xml:space="preserve">Prevention / Detection</t>
  </si>
  <si>
    <t xml:space="preserve">0 publicly accessible storage objects; 100% object access logged</t>
  </si>
  <si>
    <t xml:space="preserve">I09</t>
  </si>
  <si>
    <t xml:space="preserve">Data access governance and EHR privacy monitoring</t>
  </si>
  <si>
    <t xml:space="preserve">Privacy officer / CIO</t>
  </si>
  <si>
    <t xml:space="preserve">Governance / Detection</t>
  </si>
  <si>
    <t xml:space="preserve">100% EHR roles recertified quarterly; bulk-access alerts reviewed within 24 h</t>
  </si>
  <si>
    <t xml:space="preserve">I10</t>
  </si>
  <si>
    <t xml:space="preserve">Third-party cyber risk management</t>
  </si>
  <si>
    <t xml:space="preserve">Procurement / Cybersecurity lead</t>
  </si>
  <si>
    <t xml:space="preserve">Governance</t>
  </si>
  <si>
    <t xml:space="preserve">100% critical vendors assessed and under revised clauses</t>
  </si>
  <si>
    <t xml:space="preserve">I11</t>
  </si>
  <si>
    <t xml:space="preserve">Incident response and clinical continuity readiness</t>
  </si>
  <si>
    <t xml:space="preserve">Cybersecurity lead / Clinical Ops</t>
  </si>
  <si>
    <t xml:space="preserve">Response / Resilience</t>
  </si>
  <si>
    <t xml:space="preserve">2 tabletops/year; all 10 clinics with tested downtime procedures</t>
  </si>
  <si>
    <t xml:space="preserve">I12</t>
  </si>
  <si>
    <t xml:space="preserve">Governance, awareness and risk reporting</t>
  </si>
  <si>
    <t xml:space="preserve">Cybersecurity lead / Executive sponsor</t>
  </si>
  <si>
    <t xml:space="preserve">Quarterly KRI report delivered; phishing report rate &gt; 70%</t>
  </si>
  <si>
    <t xml:space="preserve">I13</t>
  </si>
  <si>
    <t xml:space="preserve">Clinical data integrity controls</t>
  </si>
  <si>
    <t xml:space="preserve">CIO / Clinical Ops / Pharmacy lead</t>
  </si>
  <si>
    <t xml:space="preserve">Detection / Recovery</t>
  </si>
  <si>
    <t xml:space="preserve">Month 15</t>
  </si>
  <si>
    <t xml:space="preserve">100% critical record changes attributable and reconciled</t>
  </si>
  <si>
    <t xml:space="preserve">TOTAL (each initiative counted once)</t>
  </si>
  <si>
    <t xml:space="preserve">Check: sum of scenario allocations - portfolio Year-1 total (should be 0)</t>
  </si>
  <si>
    <t xml:space="preserve">Allocation assumption: each initiative's Year-1 cost is split equally across the scenarios it addresses, so shared controls are never charged in full to several scenarios.</t>
  </si>
  <si>
    <t xml:space="preserve">Cyber-insurance premium is excluded (Information gap - broker quotation required).</t>
  </si>
  <si>
    <t xml:space="preserve">Sensitivity - lower / central / higher cases</t>
  </si>
  <si>
    <t xml:space="preserve">Lower case: Pb(A), Pb(psi,A), de, dm -delta; theta +delta; reductions +delta. Higher case: the reverse. Values clamped to [0.05, 0.99].</t>
  </si>
  <si>
    <t xml:space="preserve">Case</t>
  </si>
  <si>
    <t xml:space="preserve">Shift</t>
  </si>
  <si>
    <t xml:space="preserve">mu</t>
  </si>
  <si>
    <t xml:space="preserve">CVSS</t>
  </si>
  <si>
    <t xml:space="preserve">P red</t>
  </si>
  <si>
    <t xml:space="preserve">I red</t>
  </si>
  <si>
    <t xml:space="preserve">Estimated</t>
  </si>
  <si>
    <t xml:space="preserve">Tolerated</t>
  </si>
  <si>
    <t xml:space="preserve">Ratio</t>
  </si>
  <si>
    <t xml:space="preserve">Lower</t>
  </si>
  <si>
    <t xml:space="preserve">Central</t>
  </si>
  <si>
    <t xml:space="preserve">Higher</t>
  </si>
  <si>
    <t xml:space="preserve">Appetite sensitivity (central parameters): ratio at alternative appetite values</t>
  </si>
  <si>
    <t xml:space="preserve">Appetite 0.20</t>
  </si>
  <si>
    <t xml:space="preserve">Appetite 0.30</t>
  </si>
  <si>
    <t xml:space="preserve">Appetite 0.40</t>
  </si>
  <si>
    <t xml:space="preserve">Case-native escalation view (Business case s.8) - secondary cross-check</t>
  </si>
  <si>
    <t xml:space="preserve">Normalized residual = T x E x I x (1 - C), with T = Pb(A), E = Pb(psi,A), I = (de+dm)/2, C (control maturity) proxied by theta. Post-treatment = current x (1 - P x Q). Analyst mapping - validate.</t>
  </si>
  <si>
    <t xml:space="preserve">T</t>
  </si>
  <si>
    <t xml:space="preserve">E</t>
  </si>
  <si>
    <t xml:space="preserve">I</t>
  </si>
  <si>
    <t xml:space="preserve">C (theta)</t>
  </si>
  <si>
    <t xml:space="preserve">Current residual</t>
  </si>
  <si>
    <t xml:space="preserve">Level</t>
  </si>
  <si>
    <t xml:space="preserve">Post-treatment residual</t>
  </si>
  <si>
    <t xml:space="preserve">Acceptance authority (post)</t>
  </si>
  <si>
    <t xml:space="preserve">Library ref</t>
  </si>
  <si>
    <t xml:space="preserve">Statement</t>
  </si>
  <si>
    <t xml:space="preserve">Threat source</t>
  </si>
  <si>
    <t xml:space="preserve">Vulnerabilities / conditions</t>
  </si>
  <si>
    <t xml:space="preserve">Existing controls (evidence)</t>
  </si>
  <si>
    <t xml:space="preserve">Treatment package</t>
  </si>
  <si>
    <t xml:space="preserve">Initiatives</t>
  </si>
  <si>
    <t xml:space="preserve">Risk owner</t>
  </si>
  <si>
    <t xml:space="preserve">Horizon</t>
  </si>
  <si>
    <t xml:space="preserve">CVSS rationale</t>
  </si>
  <si>
    <t xml:space="preserve">MED-CYR-01 / 12</t>
  </si>
  <si>
    <t xml:space="preserve">A financially motivated external actor phishes clinic administrators and billing staff with an EHR-themed lure, captures credentials and obtains approval of an MFA push prompt, gaining remote access to the EHR, billing and administrative systems, enabling unauthorized access to patient records and follow-on intrusion.</t>
  </si>
  <si>
    <t xml:space="preserve">Cybercriminal (initial-access broker or ransomware affiliate).</t>
  </si>
  <si>
    <t xml:space="preserve">Push-based MFA without number matching or phishing resistance (E6 - validate); No evidence of conditional access (geo/device) policies; Internet-sourced macro documents reach users (E6); Awareness programme maturity unknown (Information gap)</t>
  </si>
  <si>
    <t xml:space="preserve">Email filtering / antimalware (E2 - effectiveness unknown); MFA push on remote access (E6); EDR alerting (E6 - triage weak)</t>
  </si>
  <si>
    <t xml:space="preserve">Phishing-resistant MFA and conditional access (I01) is the primary lever; PAM (I02) limits blast radius; MDR (I03) shortens dwell time; awareness and reporting (I12).</t>
  </si>
  <si>
    <t xml:space="preserve">I01, I02, I03, I12</t>
  </si>
  <si>
    <t xml:space="preserve">CIO</t>
  </si>
  <si>
    <t xml:space="preserve">0-6 months</t>
  </si>
  <si>
    <t xml:space="preserve">Representative weakness: remote-access authentication accepting MFA push approval (CWE-308-type single-channel weakness). AV:N internet-reachable gateway; AC:L no special conditions; AT:N; PR:N attacker starts unauthenticated; UI:A user must actively approve; VC/VI:H full session on gateway; VA:N; SC:H EHR data behind the gateway; SI:L/SA:L limited downstream change/disruption. Applicability: moderate - human factor dominates.</t>
  </si>
  <si>
    <t xml:space="preserve">MED-CYR-02</t>
  </si>
  <si>
    <t xml:space="preserve">A ransomware group gains a foothold through a macro-enabled phishing attachment or exposed service, moves laterally across an insufficiently segmented network, exfiltrates health data and encrypts EHR support servers, shared folders and scheduling systems, halting clinical and administrative operations at multiple clinics.</t>
  </si>
  <si>
    <t xml:space="preserve">Ransomware-as-a-service affiliate (double extortion).</t>
  </si>
  <si>
    <t xml:space="preserve">Macro execution and weak alert triage (E6); Segmentation between clinics, servers and backups not evidenced (E2, E7); Privileged credential hygiene unknown (Information gap); Clinic downtime procedures untested (E7)</t>
  </si>
  <si>
    <t xml:space="preserve">Firewalls, IDS/IPS, antimalware (E2); EDR (E6); On-site and off-site backups (E2 - isolation and testing unknown); Incident command structure defined (E6 - untested)</t>
  </si>
  <si>
    <t xml:space="preserve">Layered: MDR/EDR (I03), PAM (I02), segmentation (I06), immutable backup (I04), patching (I05), IR and downtime procedures (I11), awareness (I12). Residual remains material - consider cyber-insurance transfer.</t>
  </si>
  <si>
    <t xml:space="preserve">I02, I03, I04, I05, I06, I11, I12</t>
  </si>
  <si>
    <t xml:space="preserve">Executive leadership (COO) with CIO</t>
  </si>
  <si>
    <t xml:space="preserve">0-24 months</t>
  </si>
  <si>
    <t xml:space="preserve">Representative weakness: malicious macro document leading to code execution (initial vector in E6). AV:L - the document is delivered by e-mail but opened locally on the workstation (FIRST CVSS v4.0 user guide: document-based weaknesses are Local whatever the delivery channel); AC:L; AT:N; PR:N; UI:P user opens the document; VC/VI/VA:H on the workstation; SC/SI/SA:H because EHR and clinic systems are subsequently affected. CVSS describes the entry weakness only, not the enterprise impact.</t>
  </si>
  <si>
    <t xml:space="preserve">MED-CYR-07</t>
  </si>
  <si>
    <t xml:space="preserve">An attacker holding administrative credentials reaches backup servers that share the production identity domain and network, deletes or encrypts backup sets and clinic storage copies, so that MediBec cannot restore EHR and clinic systems within clinically acceptable time after a destructive event.</t>
  </si>
  <si>
    <t xml:space="preserve">Ransomware operator or other attacker with administrative access.</t>
  </si>
  <si>
    <t xml:space="preserve">Backup consoles authenticated through production directory (Analyst assumption - validate); No immutable or offline copy evidenced; Restore testing and RTO/RPO not evidenced (E7); Backup failure alerts not escalated (E6)</t>
  </si>
  <si>
    <t xml:space="preserve">On-site and off-site backups (E2); Encrypted storage (E2)</t>
  </si>
  <si>
    <t xml:space="preserve">Immutable/offline copies with separate backup identity (I04), segmentation (I06), PAM (I02), backup-alert monitoring (I03), quarterly restore tests and IR integration (I11).</t>
  </si>
  <si>
    <t xml:space="preserve">I02, I03, I04, I06, I11</t>
  </si>
  <si>
    <t xml:space="preserve">0-9 months</t>
  </si>
  <si>
    <t xml:space="preserve">Representative weakness: backup management console reachable from production network and trusting production administrator accounts. PR:H attacker already holds admin credentials; VC/VI/VA:H on the backup system; SA:H because recovery of all subsequent systems is lost.</t>
  </si>
  <si>
    <t xml:space="preserve">MED-CYR-03</t>
  </si>
  <si>
    <t xml:space="preserve">An opportunistic or targeted actor discovers a cloud storage location used for medical-image transfer and exports that is shared through long-lived public or weakly authenticated links, downloads large volumes of images and associated patient identifiers, and causes a large-scale health-data breach.</t>
  </si>
  <si>
    <t xml:space="preserve">Opportunistic scanner or cybercriminal data broker.</t>
  </si>
  <si>
    <t xml:space="preserve">Permissive or long-lived sharing links (Analyst assumption); No cloud posture management evidenced; Object-level access logging unknown (E4); Exports contain identifiers alongside images</t>
  </si>
  <si>
    <t xml:space="preserve">Encrypted storage (E2 - at-rest only, not access control); Cloud access via identity (E2)</t>
  </si>
  <si>
    <t xml:space="preserve">Block public access and enforce expiring authenticated links (I08); DLP and data minimization in exports (I09); object-access logging to MDR (I03).</t>
  </si>
  <si>
    <t xml:space="preserve">I03, I08, I09</t>
  </si>
  <si>
    <t xml:space="preserve">CIO with Privacy officer</t>
  </si>
  <si>
    <t xml:space="preserve">Representative weakness: storage object accessible without authentication (CWE-284 misconfiguration). AV:N, AC:L, AT:N, PR:N, UI:N; confidentiality only (VC:H).</t>
  </si>
  <si>
    <t xml:space="preserve">MED-CYR-11 (+ service-account evidence)</t>
  </si>
  <si>
    <t xml:space="preserve">A malicious or curious insider, or an attacker who has taken over the over-privileged ehr-sync-svc service account, uses legitimate but excessive EHR access to query and export large volumes of patient or billing records without triggering review, resulting in a privacy breach and loss of trust.</t>
  </si>
  <si>
    <t xml:space="preserve">Malicious or negligent insider; external actor using a service account.</t>
  </si>
  <si>
    <t xml:space="preserve">Broad role-based access in EHR (Analyst assumption); Over-privileged service account without vaulting (E6); No EHR access analytics or periodic recertification evidenced (E7); No DLP evidenced</t>
  </si>
  <si>
    <t xml:space="preserve">EHR audit log exists (E6); Encrypted storage (E2)</t>
  </si>
  <si>
    <t xml:space="preserve">Least-privilege redesign and access recertification plus EHR access analytics and DLP (I09); vault and restrict service accounts (I02); MDR use-cases (I03); HR/awareness (I12).</t>
  </si>
  <si>
    <t xml:space="preserve">I02, I03, I09, I12</t>
  </si>
  <si>
    <t xml:space="preserve">Privacy officer</t>
  </si>
  <si>
    <t xml:space="preserve">3-12 months</t>
  </si>
  <si>
    <t xml:space="preserve">Limited applicability: insider misuse is not a software vulnerability. Representative weakness used for the workbook: excessive privileges on an authenticated account (CWE-269). PR:L legitimate low-privilege access; VC:H bulk read; VI:L. Interpret with caution.</t>
  </si>
  <si>
    <t xml:space="preserve">MED-CYR-06</t>
  </si>
  <si>
    <t xml:space="preserve">A cybercriminal or state-linked actor mass-exploits a known vulnerability in an internet-facing remote access gateway, firewall or web application that MediBec has not patched because of uptime concerns, vendor constraints or limited staff, obtaining remote code execution and a foothold for data theft or ransomware.</t>
  </si>
  <si>
    <t xml:space="preserve">Cybercriminal / state-linked actor using public exploits.</t>
  </si>
  <si>
    <t xml:space="preserve">Patch SLAs and exception governance not evidenced (E7); Incomplete asset inventory (E4); Possible end-of-life systems (Information gap)</t>
  </si>
  <si>
    <t xml:space="preserve">Firewalls, IDS/IPS (E2); Antimalware (E2)</t>
  </si>
  <si>
    <t xml:space="preserve">Risk-based vulnerability and patch management with KEV SLAs and EOL retirement (I05); segmentation behind the edge (I06); MDR threat hunting (I03).</t>
  </si>
  <si>
    <t xml:space="preserve">I03, I05, I06</t>
  </si>
  <si>
    <t xml:space="preserve">1-9 months</t>
  </si>
  <si>
    <t xml:space="preserve">Representative weakness: unauthenticated remote code execution in an internet-facing gateway (typical of known-exploited edge vulnerabilities). All impacts High because the gateway fronts the internal network. Replace with the actual CVE vector once scan data is available.</t>
  </si>
  <si>
    <t xml:space="preserve">MED-CYR-09 (+ Wi-Fi path MED-CYR-05)</t>
  </si>
  <si>
    <t xml:space="preserve">An attacker reaching a clinic network (through malware, a compromised clinic Wi-Fi or vendor access) exploits an unpatched or default-credential medical device on a network shared with EHR workstations, disrupting device operation and using it as a persistent foothold, with potential consequences for patient care.</t>
  </si>
  <si>
    <t xml:space="preserve">Cybercriminal (opportunistic or during ransomware operation).</t>
  </si>
  <si>
    <t xml:space="preserve">Incomplete device inventory (E4); Embedded OS patching restricted by certification (E3); Devices and guest/clinical Wi-Fi not segmented (E4, E7 - validate); Default credentials (Analyst assumption)</t>
  </si>
  <si>
    <t xml:space="preserve">Firewalls and IDS/IPS at hub (E2 - east-west coverage unknown)</t>
  </si>
  <si>
    <t xml:space="preserve">Medical device security programme (I07), segmentation and NAC including guest Wi-Fi isolation (I06), patch/compensating controls (I05). Residual depends on manufacturers.</t>
  </si>
  <si>
    <t xml:space="preserve">I05, I06, I07</t>
  </si>
  <si>
    <t xml:space="preserve">Clinical Ops with Biomedical engineering</t>
  </si>
  <si>
    <t xml:space="preserve">3-24 months</t>
  </si>
  <si>
    <t xml:space="preserve">Representative weakness: unpatched embedded service or default credential on a networked device. AV:A reachable from the clinic LAN/Wi-Fi only; PR:N; full device impact; SC/SI/SA:L onward effects. CVSS supplemental metric Safety (S:P) would apply but is not part of the base score.</t>
  </si>
  <si>
    <t xml:space="preserve">MED-CYR-08 / 15</t>
  </si>
  <si>
    <t xml:space="preserve">An intrusion by any external actor goes unnoticed or is misclassified because alert triage, log coverage and after-hours monitoring are insufficient for a two-person cybersecurity team, and the untested incident response plan leads to slow, uncoordinated containment, turning a contained event into a major privacy and operational incident.</t>
  </si>
  <si>
    <t xml:space="preserve">Any external actor (amplifier scenario).</t>
  </si>
  <si>
    <t xml:space="preserve">No 24/7 monitoring (E3 - inferred); Alert triage criteria weak (E6); Log coverage and retention unknown (E4); IR plan untested; decision rights unclear (E8)</t>
  </si>
  <si>
    <t xml:space="preserve">IDS/IPS (E2); EDR (E6); Incident command roles defined (E6)</t>
  </si>
  <si>
    <t xml:space="preserve">24/7 MDR with centralized logging and escalation criteria (I03); IR plan, playbooks, retainer and tabletop exercises across clinics (I11); governance reporting (I12).</t>
  </si>
  <si>
    <t xml:space="preserve">I01, I03, I11, I12</t>
  </si>
  <si>
    <t xml:space="preserve">Limited applicability: a detection gap is a control weakness, not a vulnerability. Representative weakness for the workbook: the undetected initial code-execution vector (macro/PowerShell, E6); AV:L because the malicious document is opened locally. Do not interpret the score as the severity of the detection gap.</t>
  </si>
  <si>
    <t xml:space="preserve">MED-CYR-14</t>
  </si>
  <si>
    <t xml:space="preserve">A threat actor compromises an EHR, diagnostic, device or IT support vendor and uses the vendor's standing remote access or software update channel to enter MediBec's environment, bypassing perimeter controls to access health data or deploy malware.</t>
  </si>
  <si>
    <t xml:space="preserve">Supply-chain attacker (cybercriminal or state-linked).</t>
  </si>
  <si>
    <t xml:space="preserve">Standing vendor remote access (Analyst assumption); No vendor tiering or assessments evidenced (E7); Incident-notification clauses unknown (E5); Vendor sessions not brokered or recorded</t>
  </si>
  <si>
    <t xml:space="preserve">Firewalls (E2); Vendor coordination role defined for incidents (E6)</t>
  </si>
  <si>
    <t xml:space="preserve">Third-party risk programme and contract clauses (I10); vendor access only through PAM with MFA and recording (I01/I02); MDR monitoring of vendor sessions (I03); joint IR (I11). Residual largely outside MediBec's control - consider contractual and insurance transfer.</t>
  </si>
  <si>
    <t xml:space="preserve">I01, I02, I03, I10, I11</t>
  </si>
  <si>
    <t xml:space="preserve">Procurement with CIO</t>
  </si>
  <si>
    <t xml:space="preserve">2-12 months</t>
  </si>
  <si>
    <t xml:space="preserve">Limited applicability: supplier concentration is not a single vulnerability. Representative weakness: standing authenticated remote-access channel. AT:P the vendor must first be compromised; PR:L vendor account; full impacts. Validate against actual vendor access design.</t>
  </si>
  <si>
    <t xml:space="preserve">MED-CYR-13</t>
  </si>
  <si>
    <t xml:space="preserve">An attacker with compromised clinical credentials, or a malicious insider, alters medication, allergy, laboratory or billing records in the EHR or pharmacy system without detection, leading to incorrect clinical decisions, patient harm and loss of confidence in the record.</t>
  </si>
  <si>
    <t xml:space="preserve">External attacker (extortion or sabotage) or malicious insider.</t>
  </si>
  <si>
    <t xml:space="preserve">No integrity monitoring or reconciliation evidenced (E8); Broad write privileges (Analyst assumption); Audit trail review not evidenced; Post-restore integrity verification absent</t>
  </si>
  <si>
    <t xml:space="preserve">EHR audit logging (E6); Encrypted storage (E2 - no integrity protection)</t>
  </si>
  <si>
    <t xml:space="preserve">Integrity monitoring and reconciliation (I13), least-privilege write access (I09/I02), strong authentication (I01), backup-based verification (I04), MDR (I03), clinical playbook (I11).</t>
  </si>
  <si>
    <t xml:space="preserve">I01, I02, I03, I04, I09, I11, I13</t>
  </si>
  <si>
    <t xml:space="preserve">Clinical Ops (CMO)</t>
  </si>
  <si>
    <t xml:space="preserve">3-15 months</t>
  </si>
  <si>
    <t xml:space="preserve">Representative weakness: authenticated user able to modify records beyond need (improper authorization, CWE-285). PR:L; VI:H; SI:H because pharmacy/lab downstream systems consume the altered data.</t>
  </si>
  <si>
    <t xml:space="preserve">Candidate scenario</t>
  </si>
  <si>
    <t xml:space="preserve">Vulnerability / condition</t>
  </si>
  <si>
    <t xml:space="preserve">Primary asset</t>
  </si>
  <si>
    <t xml:space="preserve">Undesired outcome</t>
  </si>
  <si>
    <t xml:space="preserve">Decision</t>
  </si>
  <si>
    <t xml:space="preserve">Screening rationale</t>
  </si>
  <si>
    <t xml:space="preserve">C01</t>
  </si>
  <si>
    <t xml:space="preserve">Phishing-led compromise of clinic administrator credentials</t>
  </si>
  <si>
    <t xml:space="preserve">Cybercriminal</t>
  </si>
  <si>
    <t xml:space="preserve">Push-based MFA susceptible to fatigue; macro attachments delivered</t>
  </si>
  <si>
    <t xml:space="preserve">CJ5 / CJ1</t>
  </si>
  <si>
    <t xml:space="preserve">Unauthorized EHR and remote access</t>
  </si>
  <si>
    <t xml:space="preserve">MED-CYR-01, 12</t>
  </si>
  <si>
    <t xml:space="preserve">Selected (S1)</t>
  </si>
  <si>
    <t xml:space="preserve">Most frequent initial-access path; directly evidenced by injects E6.</t>
  </si>
  <si>
    <t xml:space="preserve">C02</t>
  </si>
  <si>
    <t xml:space="preserve">Ransomware encrypting EHR support systems, shared folders and scheduling</t>
  </si>
  <si>
    <t xml:space="preserve">Ransomware group</t>
  </si>
  <si>
    <t xml:space="preserve">Flat internal network; weak alert triage; backups reachable</t>
  </si>
  <si>
    <t xml:space="preserve">CJ1 / CJ3 / CJ6</t>
  </si>
  <si>
    <t xml:space="preserve">Multi-clinic disruption and data theft</t>
  </si>
  <si>
    <t xml:space="preserve">Selected (S2)</t>
  </si>
  <si>
    <t xml:space="preserve">Highest combined clinical, privacy and operational consequence.</t>
  </si>
  <si>
    <t xml:space="preserve">C03</t>
  </si>
  <si>
    <t xml:space="preserve">Backup environment compromised before encryption, recovery fails</t>
  </si>
  <si>
    <t xml:space="preserve">Ransomware group / privileged attacker</t>
  </si>
  <si>
    <t xml:space="preserve">Backups in same admin domain; restore testing not evidenced</t>
  </si>
  <si>
    <t xml:space="preserve">CJ6</t>
  </si>
  <si>
    <t xml:space="preserve">Prolonged outage, loss of recoverability</t>
  </si>
  <si>
    <t xml:space="preserve">Selected (S3)</t>
  </si>
  <si>
    <t xml:space="preserve">Determines whether S2 is survivable; backup failures in E6.</t>
  </si>
  <si>
    <t xml:space="preserve">C04</t>
  </si>
  <si>
    <t xml:space="preserve">Cloud medical-image transfer storage exposed or accessed externally</t>
  </si>
  <si>
    <t xml:space="preserve">Opportunistic actor / cybercriminal</t>
  </si>
  <si>
    <t xml:space="preserve">Permissive sharing, weak cloud logging and posture management</t>
  </si>
  <si>
    <t xml:space="preserve">CJ7</t>
  </si>
  <si>
    <t xml:space="preserve">Bulk health-data exposure</t>
  </si>
  <si>
    <t xml:space="preserve">Selected (S4)</t>
  </si>
  <si>
    <t xml:space="preserve">Large-volume PHI exposure; evidenced by unusual downloads (E6).</t>
  </si>
  <si>
    <t xml:space="preserve">C05</t>
  </si>
  <si>
    <t xml:space="preserve">API key committed to a code repository enables data access</t>
  </si>
  <si>
    <t xml:space="preserve">Opportunistic actor</t>
  </si>
  <si>
    <t xml:space="preserve">No secret scanning or vault evidenced</t>
  </si>
  <si>
    <t xml:space="preserve">CJ1 / CJ7</t>
  </si>
  <si>
    <t xml:space="preserve">Direct API data extraction</t>
  </si>
  <si>
    <t xml:space="preserve">MED-CYR-04</t>
  </si>
  <si>
    <t xml:space="preserve">Not selected</t>
  </si>
  <si>
    <t xml:space="preserve">Plausible but thin evidence on MediBec's development footprint; controls partly shared with S4/S5. Keep on watch list.</t>
  </si>
  <si>
    <t xml:space="preserve">C06</t>
  </si>
  <si>
    <t xml:space="preserve">Clinic Wi-Fi compromise or rogue access point</t>
  </si>
  <si>
    <t xml:space="preserve">Local attacker</t>
  </si>
  <si>
    <t xml:space="preserve">Guest/clinical Wi-Fi segmentation not evidenced</t>
  </si>
  <si>
    <t xml:space="preserve">Clinic LAN</t>
  </si>
  <si>
    <t xml:space="preserve">Internal network foothold</t>
  </si>
  <si>
    <t xml:space="preserve">MED-CYR-05</t>
  </si>
  <si>
    <t xml:space="preserve">Merged into S7</t>
  </si>
  <si>
    <t xml:space="preserve">Treated as an access path; the consequence driver is the flat network addressed in S7/S2.</t>
  </si>
  <si>
    <t xml:space="preserve">C07</t>
  </si>
  <si>
    <t xml:space="preserve">Cybercriminal / state-linked actor</t>
  </si>
  <si>
    <t xml:space="preserve">Patch delays from uptime and vendor constraints</t>
  </si>
  <si>
    <t xml:space="preserve">CJ5 / CJ6</t>
  </si>
  <si>
    <t xml:space="preserve">Remote code execution and intrusion</t>
  </si>
  <si>
    <t xml:space="preserve">Selected (S6)</t>
  </si>
  <si>
    <t xml:space="preserve">Mass exploitation of edge devices is a leading entry vector; patching constraints documented (E3).</t>
  </si>
  <si>
    <t xml:space="preserve">C08</t>
  </si>
  <si>
    <t xml:space="preserve">Intrusion goes undetected because monitoring and triage are insufficient</t>
  </si>
  <si>
    <t xml:space="preserve">Any external actor</t>
  </si>
  <si>
    <t xml:space="preserve">2-person team, alert closed as low severity, log coverage unknown</t>
  </si>
  <si>
    <t xml:space="preserve">All</t>
  </si>
  <si>
    <t xml:space="preserve">Extended dwell time, amplified harm</t>
  </si>
  <si>
    <t xml:space="preserve">MED-CYR-08</t>
  </si>
  <si>
    <t xml:space="preserve">Selected (S8)</t>
  </si>
  <si>
    <t xml:space="preserve">Systemic amplifier; directly evidenced (E3, E6).</t>
  </si>
  <si>
    <t xml:space="preserve">C09</t>
  </si>
  <si>
    <t xml:space="preserve">Connected medical device used as network foothold</t>
  </si>
  <si>
    <t xml:space="preserve">Unpatched embedded OS, incomplete inventory, weak segmentation</t>
  </si>
  <si>
    <t xml:space="preserve">CJ8</t>
  </si>
  <si>
    <t xml:space="preserve">Device disruption, lateral movement</t>
  </si>
  <si>
    <t xml:space="preserve">MED-CYR-09</t>
  </si>
  <si>
    <t xml:space="preserve">Selected (S7)</t>
  </si>
  <si>
    <t xml:space="preserve">Only scenario with direct patient-safety pathway through equipment.</t>
  </si>
  <si>
    <t xml:space="preserve">C10</t>
  </si>
  <si>
    <t xml:space="preserve">DDoS against patient-facing online services</t>
  </si>
  <si>
    <t xml:space="preserve">Hacktivist / extortionist</t>
  </si>
  <si>
    <t xml:space="preserve">No DDoS protection evidenced</t>
  </si>
  <si>
    <t xml:space="preserve">CJ3</t>
  </si>
  <si>
    <t xml:space="preserve">Online booking unavailable</t>
  </si>
  <si>
    <t xml:space="preserve">MED-CYR-10</t>
  </si>
  <si>
    <t xml:space="preserve">Clinics can continue care; limited privacy impact; criticality of online services not documented.</t>
  </si>
  <si>
    <t xml:space="preserve">C11</t>
  </si>
  <si>
    <t xml:space="preserve">Staff member exports health or billing records for unauthorized purposes</t>
  </si>
  <si>
    <t xml:space="preserve">Malicious or curious insider</t>
  </si>
  <si>
    <t xml:space="preserve">Broad EHR roles, limited access analytics</t>
  </si>
  <si>
    <t xml:space="preserve">CJ1 / CJ4</t>
  </si>
  <si>
    <t xml:space="preserve">Privacy breach</t>
  </si>
  <si>
    <t xml:space="preserve">MED-CYR-11</t>
  </si>
  <si>
    <t xml:space="preserve">Selected (S5, merged with C15)</t>
  </si>
  <si>
    <t xml:space="preserve">Common in healthcare; high regulatory significance.</t>
  </si>
  <si>
    <t xml:space="preserve">C12</t>
  </si>
  <si>
    <t xml:space="preserve">Alteration of patient, medication or billing records</t>
  </si>
  <si>
    <t xml:space="preserve">Attacker or insider</t>
  </si>
  <si>
    <t xml:space="preserve">Limited integrity monitoring and reconciliation</t>
  </si>
  <si>
    <t xml:space="preserve">CJ1 / CJ2</t>
  </si>
  <si>
    <t xml:space="preserve">Unsafe clinical decisions, billing errors</t>
  </si>
  <si>
    <t xml:space="preserve">Selected (S10)</t>
  </si>
  <si>
    <t xml:space="preserve">Lower likelihood but severe patient-safety consequence.</t>
  </si>
  <si>
    <t xml:space="preserve">C13</t>
  </si>
  <si>
    <t xml:space="preserve">Compromise of a vendor with remote access to MediBec systems</t>
  </si>
  <si>
    <t xml:space="preserve">Supply-chain attacker</t>
  </si>
  <si>
    <t xml:space="preserve">Standing vendor access, limited assurance</t>
  </si>
  <si>
    <t xml:space="preserve">CJ1 / CJ2 / CJ8</t>
  </si>
  <si>
    <t xml:space="preserve">Trusted-path intrusion</t>
  </si>
  <si>
    <t xml:space="preserve">Selected (S9)</t>
  </si>
  <si>
    <t xml:space="preserve">Many critical vendors (EHR, devices, cloud); controls largely absent.</t>
  </si>
  <si>
    <t xml:space="preserve">C14</t>
  </si>
  <si>
    <t xml:space="preserve">Untested incident response plan causes poor coordination</t>
  </si>
  <si>
    <t xml:space="preserve">Any incident</t>
  </si>
  <si>
    <t xml:space="preserve">No tabletop evidence across clinics</t>
  </si>
  <si>
    <t xml:space="preserve">Slow, uncoordinated response</t>
  </si>
  <si>
    <t xml:space="preserve">MED-CYR-15</t>
  </si>
  <si>
    <t xml:space="preserve">Merged into S8</t>
  </si>
  <si>
    <t xml:space="preserve">A resilience condition rather than a threat; combined with detection into one response-capacity scenario.</t>
  </si>
  <si>
    <t xml:space="preserve">C15</t>
  </si>
  <si>
    <t xml:space="preserve">Over-privileged service account (ehr-sync-svc) abused for mass extraction</t>
  </si>
  <si>
    <t xml:space="preserve">External attacker or insider</t>
  </si>
  <si>
    <t xml:space="preserve">Service account privileges, no vaulting</t>
  </si>
  <si>
    <t xml:space="preserve">CJ1</t>
  </si>
  <si>
    <t xml:space="preserve">Mass PHI extraction</t>
  </si>
  <si>
    <t xml:space="preserve">Evidence E6</t>
  </si>
  <si>
    <t xml:space="preserve">Merged into S5</t>
  </si>
  <si>
    <t xml:space="preserve">Same control family (privileged and legitimate-access misuse).</t>
  </si>
  <si>
    <t xml:space="preserve">C16</t>
  </si>
  <si>
    <t xml:space="preserve">Montreal data centre or WAN outage isolates all clinics</t>
  </si>
  <si>
    <t xml:space="preserve">Accidental / environmental</t>
  </si>
  <si>
    <t xml:space="preserve">Single hub dependency</t>
  </si>
  <si>
    <t xml:space="preserve">Enterprise-wide outage</t>
  </si>
  <si>
    <t xml:space="preserve">Annex B #49</t>
  </si>
  <si>
    <t xml:space="preserve">Non-malicious availability risk; better handled in BCP/DR review. Shares recovery controls with S3.</t>
  </si>
  <si>
    <t xml:space="preserve">C17</t>
  </si>
  <si>
    <t xml:space="preserve">Unmanaged copies on local clinic storage units exposed</t>
  </si>
  <si>
    <t xml:space="preserve">Theft / insider</t>
  </si>
  <si>
    <t xml:space="preserve">Data sprawl, local storage outside central controls</t>
  </si>
  <si>
    <t xml:space="preserve">Clinic storage</t>
  </si>
  <si>
    <t xml:space="preserve">Local data breach</t>
  </si>
  <si>
    <t xml:space="preserve">Annex B #55</t>
  </si>
  <si>
    <t xml:space="preserve">Encryption documented (E2); exposure absorbed into S2/S3 scope.</t>
  </si>
  <si>
    <t xml:space="preserve">C18</t>
  </si>
  <si>
    <t xml:space="preserve">Business e-mail compromise diverts billing payments</t>
  </si>
  <si>
    <t xml:space="preserve">Fraudster</t>
  </si>
  <si>
    <t xml:space="preserve">Weak payment verification</t>
  </si>
  <si>
    <t xml:space="preserve">CJ4</t>
  </si>
  <si>
    <t xml:space="preserve">Financial loss</t>
  </si>
  <si>
    <t xml:space="preserve">Annex B #71</t>
  </si>
  <si>
    <t xml:space="preserve">Financial only; lower mission impact than selected scenarios.</t>
  </si>
  <si>
    <t xml:space="preserve">C19</t>
  </si>
  <si>
    <t xml:space="preserve">Lost or stolen tablet or handheld with patient data</t>
  </si>
  <si>
    <t xml:space="preserve">Opportunistic thief</t>
  </si>
  <si>
    <t xml:space="preserve">Mobile device management not evidenced</t>
  </si>
  <si>
    <t xml:space="preserve">Endpoints</t>
  </si>
  <si>
    <t xml:space="preserve">Limited data exposure</t>
  </si>
  <si>
    <t xml:space="preserve">Annex B #7</t>
  </si>
  <si>
    <t xml:space="preserve">Lower volume of records; standard MDM control.</t>
  </si>
  <si>
    <t xml:space="preserve">C20</t>
  </si>
  <si>
    <t xml:space="preserve">MFA push-fatigue bypass of remote access</t>
  </si>
  <si>
    <t xml:space="preserve">Push approval without number matching</t>
  </si>
  <si>
    <t xml:space="preserve">CJ5</t>
  </si>
  <si>
    <t xml:space="preserve">Account takeover</t>
  </si>
  <si>
    <t xml:space="preserve">Merged into S1</t>
  </si>
  <si>
    <t xml:space="preserve">Same causal chain as C01.</t>
  </si>
  <si>
    <t xml:space="preserve">KRI</t>
  </si>
  <si>
    <t xml:space="preserve">Scenarios</t>
  </si>
  <si>
    <t xml:space="preserve">Measurement</t>
  </si>
  <si>
    <t xml:space="preserve">Data source</t>
  </si>
  <si>
    <t xml:space="preserve">Frequency</t>
  </si>
  <si>
    <t xml:space="preserve">Target</t>
  </si>
  <si>
    <t xml:space="preserve">Warning</t>
  </si>
  <si>
    <t xml:space="preserve">Critical</t>
  </si>
  <si>
    <t xml:space="preserve">KRI-01</t>
  </si>
  <si>
    <t xml:space="preserve">% privileged and remote-access accounts on phishing-resistant MFA</t>
  </si>
  <si>
    <t xml:space="preserve">S1, S8, S9</t>
  </si>
  <si>
    <t xml:space="preserve">Accounts with FIDO2 / total in-scope accounts</t>
  </si>
  <si>
    <t xml:space="preserve">IdP / directory report</t>
  </si>
  <si>
    <t xml:space="preserve">Monthly</t>
  </si>
  <si>
    <t xml:space="preserve">100%</t>
  </si>
  <si>
    <t xml:space="preserve">&lt; 95%</t>
  </si>
  <si>
    <t xml:space="preserve">&lt; 85%</t>
  </si>
  <si>
    <t xml:space="preserve">KRI-02</t>
  </si>
  <si>
    <t xml:space="preserve">Phishing simulation report rate / click rate</t>
  </si>
  <si>
    <t xml:space="preserve">S1, S2</t>
  </si>
  <si>
    <t xml:space="preserve">Reported vs clicked in simulations</t>
  </si>
  <si>
    <t xml:space="preserve">Awareness platform</t>
  </si>
  <si>
    <t xml:space="preserve">Quarterly</t>
  </si>
  <si>
    <t xml:space="preserve">&gt; 70% / &lt; 5%</t>
  </si>
  <si>
    <t xml:space="preserve">&lt; 50% / &gt; 8%</t>
  </si>
  <si>
    <t xml:space="preserve">&lt; 30% / &gt; 15%</t>
  </si>
  <si>
    <t xml:space="preserve">KRI-03</t>
  </si>
  <si>
    <t xml:space="preserve">% critical/known-exploited vulnerabilities remediated within SLA</t>
  </si>
  <si>
    <t xml:space="preserve">S6, S2</t>
  </si>
  <si>
    <t xml:space="preserve">Closed within SLA / total</t>
  </si>
  <si>
    <t xml:space="preserve">Vulnerability scanner</t>
  </si>
  <si>
    <t xml:space="preserve">&gt; 95%</t>
  </si>
  <si>
    <t xml:space="preserve">&lt; 90%</t>
  </si>
  <si>
    <t xml:space="preserve">&lt; 75%</t>
  </si>
  <si>
    <t xml:space="preserve">KRI-04</t>
  </si>
  <si>
    <t xml:space="preserve">Number of unsupported (end-of-life) systems on patient-data or internet-facing networks</t>
  </si>
  <si>
    <t xml:space="preserve">S6, S7</t>
  </si>
  <si>
    <t xml:space="preserve">Count from inventory</t>
  </si>
  <si>
    <t xml:space="preserve">CMDB / scanner</t>
  </si>
  <si>
    <t xml:space="preserve">0</t>
  </si>
  <si>
    <t xml:space="preserve">&gt;= 1</t>
  </si>
  <si>
    <t xml:space="preserve">&gt;= 5</t>
  </si>
  <si>
    <t xml:space="preserve">KRI-05</t>
  </si>
  <si>
    <t xml:space="preserve">Crown-jewel backup restore-test success rate within RTO</t>
  </si>
  <si>
    <t xml:space="preserve">S2, S3, S10</t>
  </si>
  <si>
    <t xml:space="preserve">Successful tests / tests run</t>
  </si>
  <si>
    <t xml:space="preserve">Backup platform, DR test records</t>
  </si>
  <si>
    <t xml:space="preserve">&lt; 80%</t>
  </si>
  <si>
    <t xml:space="preserve">KRI-06</t>
  </si>
  <si>
    <t xml:space="preserve">EDR and log coverage of critical assets</t>
  </si>
  <si>
    <t xml:space="preserve">S2, S8</t>
  </si>
  <si>
    <t xml:space="preserve">Assets reporting / inventory</t>
  </si>
  <si>
    <t xml:space="preserve">EDR console, SIEM</t>
  </si>
  <si>
    <t xml:space="preserve">&gt; 98%</t>
  </si>
  <si>
    <t xml:space="preserve">KRI-07</t>
  </si>
  <si>
    <t xml:space="preserve">Mean time to detect / contain high-severity incidents</t>
  </si>
  <si>
    <t xml:space="preserve">S8, S2</t>
  </si>
  <si>
    <t xml:space="preserve">Median hours from first signal to detection / containment</t>
  </si>
  <si>
    <t xml:space="preserve">MDR reports</t>
  </si>
  <si>
    <t xml:space="preserve">&lt; 1 h / &lt; 4 h</t>
  </si>
  <si>
    <t xml:space="preserve">&gt; 4 h / &gt; 24 h</t>
  </si>
  <si>
    <t xml:space="preserve">&gt; 24 h / &gt; 72 h</t>
  </si>
  <si>
    <t xml:space="preserve">KRI-08</t>
  </si>
  <si>
    <t xml:space="preserve">Publicly accessible cloud storage objects containing health data</t>
  </si>
  <si>
    <t xml:space="preserve">Count from CSPM</t>
  </si>
  <si>
    <t xml:space="preserve">CSPM</t>
  </si>
  <si>
    <t xml:space="preserve">Weekly</t>
  </si>
  <si>
    <t xml:space="preserve">&gt;= 1 with PHI</t>
  </si>
  <si>
    <t xml:space="preserve">KRI-09</t>
  </si>
  <si>
    <t xml:space="preserve">% EHR roles recertified and bulk-access alerts reviewed within 24 h</t>
  </si>
  <si>
    <t xml:space="preserve">S5, S10</t>
  </si>
  <si>
    <t xml:space="preserve">Recertified / total; reviewed / raised</t>
  </si>
  <si>
    <t xml:space="preserve">EHR access analytics, IAM</t>
  </si>
  <si>
    <t xml:space="preserve">KRI-10</t>
  </si>
  <si>
    <t xml:space="preserve">% networked medical devices inventoried and in isolated segments</t>
  </si>
  <si>
    <t xml:space="preserve">Segmented devices / inventoried</t>
  </si>
  <si>
    <t xml:space="preserve">IoMT monitoring, NAC</t>
  </si>
  <si>
    <t xml:space="preserve">Biomedical engineering</t>
  </si>
  <si>
    <t xml:space="preserve">&lt; 70%</t>
  </si>
  <si>
    <t xml:space="preserve">KRI-11</t>
  </si>
  <si>
    <t xml:space="preserve">% critical vendors assessed with current notification clauses</t>
  </si>
  <si>
    <t xml:space="preserve">Assessed / critical vendors</t>
  </si>
  <si>
    <t xml:space="preserve">TPRM register</t>
  </si>
  <si>
    <t xml:space="preserve">Procurement</t>
  </si>
  <si>
    <t xml:space="preserve">KRI-12</t>
  </si>
  <si>
    <t xml:space="preserve">Clinics with tested downtime procedures (last 12 months)</t>
  </si>
  <si>
    <t xml:space="preserve">Clinics tested / 10</t>
  </si>
  <si>
    <t xml:space="preserve">Tabletop records</t>
  </si>
  <si>
    <t xml:space="preserve">Clinical Ops</t>
  </si>
  <si>
    <t xml:space="preserve">Semi-annual</t>
  </si>
  <si>
    <t xml:space="preserve">10/10</t>
  </si>
  <si>
    <t xml:space="preserve">&lt; 8</t>
  </si>
  <si>
    <t xml:space="preserve">&lt; 5</t>
  </si>
  <si>
    <t xml:space="preserve">Source</t>
  </si>
  <si>
    <t xml:space="preserve">Basis</t>
  </si>
  <si>
    <t xml:space="preserve">Content used</t>
  </si>
  <si>
    <t xml:space="preserve">E1</t>
  </si>
  <si>
    <t xml:space="preserve">MediBec business case v2.0b, s.3 - Background and healthcare profile</t>
  </si>
  <si>
    <t xml:space="preserve">Documented (case)</t>
  </si>
  <si>
    <t xml:space="preserve">HQ Montreal; 10 clinics (Montreal, Quebec City, Gatineau, Saguenay); EHR, radiology, lab, pharmacy, billing, communications; sensitive health data.</t>
  </si>
  <si>
    <t xml:space="preserve">E2</t>
  </si>
  <si>
    <t xml:space="preserve">Business case s.4 - Technology environment table</t>
  </si>
  <si>
    <t xml:space="preserve">Central network hub in Montreal, WAN fibre to clinics, firewalls, IDS/IPS, antivirus/antimalware; Montreal data centre, local clinic storage, on-site and off-site backups, encrypted storage; cloud-based remote access; interconnected medical equipment.</t>
  </si>
  <si>
    <t xml:space="preserve">E3</t>
  </si>
  <si>
    <t xml:space="preserve">Business case s.4 - Operating model and budget context</t>
  </si>
  <si>
    <t xml:space="preserve">15-person IT department, 2 dedicated cybersecurity staff; stated IT budget CAD 100M incl. salaries; 2024-2030 roadmap; medical-device certification and clinical change constraints.</t>
  </si>
  <si>
    <t xml:space="preserve">E4</t>
  </si>
  <si>
    <t xml:space="preserve">Business case s.5 - Threat context</t>
  </si>
  <si>
    <t xml:space="preserve">Multiple unsuccessful attack attempts since 2020, increasing recently; no confirmed successful breach; open questions on log sufficiency, device inventories, cloud configuration.</t>
  </si>
  <si>
    <t xml:space="preserve">E5</t>
  </si>
  <si>
    <t xml:space="preserve">Business case s.8 - Risk appetite statement</t>
  </si>
  <si>
    <t xml:space="preserve">Low appetite for patient safety, health-data confidentiality, compliance, public trust; moderate for governed innovation; normalized tolerance 0.40; residual &gt;0.25 executive review, &gt;0.40 Board acceptance.</t>
  </si>
  <si>
    <t xml:space="preserve">E6</t>
  </si>
  <si>
    <t xml:space="preserve">Business case s.6 and Appendices A-B - Incident injects and technical evidence</t>
  </si>
  <si>
    <t xml:space="preserve">Exercise evidence (illustrative - validate)</t>
  </si>
  <si>
    <t xml:space="preserve">Phishing with .docm macro; EDR PowerShell alert closed as low severity; remote login from unusual geography with MFA push approved; cloud medical_image_export.zip downloaded from unknown IP; ehr-sync-svc service account unusual query volume; clinic backup failures.</t>
  </si>
  <si>
    <t xml:space="preserve">E7</t>
  </si>
  <si>
    <t xml:space="preserve">Business case s.7 - Audit universe</t>
  </si>
  <si>
    <t xml:space="preserve">Auditable areas incl. EHR access/IAM, cloud/remote access, backup, medical device/IoT, Wi-Fi, patching, IDS/SIEM, privacy, third parties, API keys, awareness, remediation governance.</t>
  </si>
  <si>
    <t xml:space="preserve">E8</t>
  </si>
  <si>
    <t xml:space="preserve">Business case s.9 - Scenario library MED-CYR-01 to 15</t>
  </si>
  <si>
    <t xml:space="preserve">Fifteen candidate scenario themes with suggested control families.</t>
  </si>
  <si>
    <t xml:space="preserve">E9</t>
  </si>
  <si>
    <t xml:space="preserve">Business case Instructor Annex A - Detailed scenarios</t>
  </si>
  <si>
    <t xml:space="preserve">Illustrative values (calibration only)</t>
  </si>
  <si>
    <t xml:space="preserve">Illustrative probabilities, damages, resilience, CVSS v3.1 and budgets. Used only as a calibration cross-check; not adopted as evidence.</t>
  </si>
  <si>
    <t xml:space="preserve">E10</t>
  </si>
  <si>
    <t xml:space="preserve">Project KB - Cybersecurity Risk Assessment Excel Guide v1.0c</t>
  </si>
  <si>
    <t xml:space="preserve">Methodology</t>
  </si>
  <si>
    <t xml:space="preserve">Authoritative risk-index formulas; CVSS v4.0; multiplication factor 1,000 in worked example; reductions must stay within 0-1.</t>
  </si>
  <si>
    <t xml:space="preserve">E11</t>
  </si>
  <si>
    <t xml:space="preserve">Project KB - Master task specification / Scenario development guide</t>
  </si>
  <si>
    <t xml:space="preserve">Scenario construction standard, 20-to-10 screening, reporting structure, QC checklist.</t>
  </si>
  <si>
    <t xml:space="preserve">E12</t>
  </si>
  <si>
    <t xml:space="preserve">FIRST CVSS v4.0 specification (computed with the 'cvss' Python library)</t>
  </si>
  <si>
    <t xml:space="preserve">External reference</t>
  </si>
  <si>
    <t xml:space="preserve">Base scores (CVSS-B) computed from the documented vectors.</t>
  </si>
</sst>
</file>

<file path=xl/styles.xml><?xml version="1.0" encoding="utf-8"?>
<styleSheet xmlns="http://schemas.openxmlformats.org/spreadsheetml/2006/main">
  <numFmts count="8">
    <numFmt numFmtId="164" formatCode="General"/>
    <numFmt numFmtId="165" formatCode="0.00"/>
    <numFmt numFmtId="166" formatCode="0.0"/>
    <numFmt numFmtId="167" formatCode="#,##0"/>
    <numFmt numFmtId="168" formatCode="\$#,##0"/>
    <numFmt numFmtId="169" formatCode="0"/>
    <numFmt numFmtId="170" formatCode="\$#,##0;&quot;($&quot;#,##0\);\-"/>
    <numFmt numFmtId="171" formatCode="0.00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color rgb="FFFFFFFF"/>
      <name val="Arial"/>
      <family val="0"/>
      <charset val="1"/>
    </font>
    <font>
      <sz val="10"/>
      <color rgb="FF008000"/>
      <name val="Arial"/>
      <family val="0"/>
      <charset val="1"/>
    </font>
    <font>
      <b val="true"/>
      <sz val="10"/>
      <name val="Arial"/>
      <family val="0"/>
      <charset val="1"/>
    </font>
    <font>
      <sz val="10"/>
      <color rgb="FF0000FF"/>
      <name val="Arial"/>
      <family val="0"/>
      <charset val="1"/>
    </font>
    <font>
      <sz val="10"/>
      <name val="Arial"/>
      <family val="2"/>
    </font>
  </fonts>
  <fills count="4">
    <fill>
      <patternFill patternType="none"/>
    </fill>
    <fill>
      <patternFill patternType="gray125"/>
    </fill>
    <fill>
      <patternFill patternType="solid">
        <fgColor rgb="FF1F3864"/>
        <bgColor rgb="FF333333"/>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69" fontId="9" fillId="0" borderId="1" xfId="0" applyFont="true" applyBorder="true" applyAlignment="false" applyProtection="false">
      <alignment horizontal="general" vertical="bottom"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71" fontId="5"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4CCCC"/>
        </patternFill>
      </fill>
    </dxf>
    <dxf>
      <fill>
        <patternFill>
          <bgColor rgb="FFFFF2CC"/>
        </patternFill>
      </fill>
    </dxf>
    <dxf>
      <fill>
        <patternFill>
          <bgColor rgb="FFD9EAD3"/>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4CCCC"/>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7.35" hidden="false" customHeight="false" outlineLevel="0" collapsed="false">
      <c r="A1" s="1" t="s">
        <v>0</v>
      </c>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2" t="s">
        <v>4</v>
      </c>
    </row>
    <row r="8" customFormat="false" ht="15" hidden="false" customHeight="false" outlineLevel="0" collapsed="false">
      <c r="A8" s="2"/>
    </row>
    <row r="9" customFormat="false" ht="15" hidden="false" customHeight="false" outlineLevel="0" collapsed="false">
      <c r="A9" s="2" t="s">
        <v>5</v>
      </c>
    </row>
    <row r="10" customFormat="false" ht="15" hidden="false" customHeight="false" outlineLevel="0" collapsed="false">
      <c r="A10" s="2" t="s">
        <v>6</v>
      </c>
    </row>
    <row r="11" customFormat="false" ht="15" hidden="false" customHeight="false" outlineLevel="0" collapsed="false">
      <c r="A11" s="2" t="s">
        <v>7</v>
      </c>
    </row>
    <row r="12" customFormat="false" ht="15" hidden="false" customHeight="false" outlineLevel="0" collapsed="false">
      <c r="A12" s="2" t="s">
        <v>8</v>
      </c>
    </row>
    <row r="13" customFormat="false" ht="15" hidden="false" customHeight="false" outlineLevel="0" collapsed="false">
      <c r="A13" s="2" t="s">
        <v>9</v>
      </c>
    </row>
    <row r="14" customFormat="false" ht="15" hidden="false" customHeight="false" outlineLevel="0" collapsed="false">
      <c r="A14" s="2" t="s">
        <v>10</v>
      </c>
    </row>
    <row r="15" customFormat="false" ht="15" hidden="false" customHeight="false" outlineLevel="0" collapsed="false">
      <c r="A15" s="2" t="s">
        <v>11</v>
      </c>
    </row>
    <row r="16" customFormat="false" ht="15" hidden="false" customHeight="false" outlineLevel="0" collapsed="false">
      <c r="A16" s="2" t="s">
        <v>12</v>
      </c>
    </row>
    <row r="17" customFormat="false" ht="15" hidden="false" customHeight="false" outlineLevel="0" collapsed="false">
      <c r="A17" s="2"/>
    </row>
    <row r="18" customFormat="false" ht="15" hidden="false" customHeight="false" outlineLevel="0" collapsed="false">
      <c r="A18" s="2" t="s">
        <v>13</v>
      </c>
    </row>
    <row r="19" customFormat="false" ht="15" hidden="false" customHeight="false" outlineLevel="0" collapsed="false">
      <c r="A19" s="2" t="s">
        <v>14</v>
      </c>
    </row>
    <row r="20" customFormat="false" ht="15" hidden="false" customHeight="false" outlineLevel="0" collapsed="false">
      <c r="A20" s="2" t="s">
        <v>15</v>
      </c>
    </row>
    <row r="21" customFormat="false" ht="15" hidden="false" customHeight="false" outlineLevel="0" collapsed="false">
      <c r="A21" s="2" t="s">
        <v>16</v>
      </c>
    </row>
    <row r="22" customFormat="false" ht="15" hidden="false" customHeight="false" outlineLevel="0" collapsed="false">
      <c r="A22" s="2" t="s">
        <v>17</v>
      </c>
    </row>
    <row r="23" customFormat="false" ht="15" hidden="false" customHeight="false" outlineLevel="0" collapsed="false">
      <c r="A23" s="2" t="s">
        <v>18</v>
      </c>
    </row>
    <row r="24" customFormat="false" ht="15" hidden="false" customHeight="false" outlineLevel="0" collapsed="false">
      <c r="A24" s="2"/>
    </row>
    <row r="25" customFormat="false" ht="15" hidden="false" customHeight="false" outlineLevel="0" collapsed="false">
      <c r="A25" s="2"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52"/>
    <col collapsed="false" customWidth="true" hidden="false" outlineLevel="0" max="3" min="3" style="0" width="7"/>
    <col collapsed="false" customWidth="true" hidden="false" outlineLevel="0" max="4" min="4" style="0" width="8"/>
    <col collapsed="false" customWidth="true" hidden="false" outlineLevel="0" max="5" min="5" style="0" width="7"/>
    <col collapsed="false" customWidth="true" hidden="false" outlineLevel="0" max="7" min="6" style="0" width="6"/>
    <col collapsed="false" customWidth="true" hidden="false" outlineLevel="0" max="9" min="8" style="0" width="7"/>
    <col collapsed="false" customWidth="true" hidden="false" outlineLevel="0" max="11" min="10" style="0" width="8"/>
    <col collapsed="false" customWidth="true" hidden="false" outlineLevel="0" max="13" min="12" style="0" width="11"/>
    <col collapsed="false" customWidth="true" hidden="false" outlineLevel="0" max="14" min="14" style="0" width="10"/>
    <col collapsed="false" customWidth="true" hidden="false" outlineLevel="0" max="15" min="15" style="0" width="12"/>
    <col collapsed="false" customWidth="true" hidden="false" outlineLevel="0" max="17" min="16" style="0" width="9"/>
    <col collapsed="false" customWidth="true" hidden="false" outlineLevel="0" max="19" min="18" style="0" width="11"/>
    <col collapsed="false" customWidth="true" hidden="false" outlineLevel="0" max="20" min="20" style="0" width="10"/>
    <col collapsed="false" customWidth="true" hidden="false" outlineLevel="0" max="21" min="21" style="0" width="24"/>
    <col collapsed="false" customWidth="true" hidden="false" outlineLevel="0" max="22" min="22" style="0" width="12"/>
    <col collapsed="false" customWidth="true" hidden="false" outlineLevel="0" max="23" min="23" style="0" width="10"/>
  </cols>
  <sheetData>
    <row r="1" customFormat="false" ht="17.35" hidden="false" customHeight="false" outlineLevel="0" collapsed="false">
      <c r="A1" s="1" t="s">
        <v>20</v>
      </c>
    </row>
    <row r="2" customFormat="false" ht="15" hidden="false" customHeight="false" outlineLevel="0" collapsed="false">
      <c r="A2" s="2" t="s">
        <v>21</v>
      </c>
    </row>
    <row r="4" customFormat="false" ht="35.05" hidden="false" customHeight="false" outlineLevel="0" collapsed="false">
      <c r="A4" s="3" t="s">
        <v>22</v>
      </c>
      <c r="B4" s="3" t="s">
        <v>23</v>
      </c>
      <c r="C4" s="3" t="s">
        <v>24</v>
      </c>
      <c r="D4" s="3" t="s">
        <v>25</v>
      </c>
      <c r="E4" s="3" t="s">
        <v>26</v>
      </c>
      <c r="F4" s="3" t="s">
        <v>27</v>
      </c>
      <c r="G4" s="3" t="s">
        <v>28</v>
      </c>
      <c r="H4" s="3" t="s">
        <v>29</v>
      </c>
      <c r="I4" s="3" t="s">
        <v>30</v>
      </c>
      <c r="J4" s="3" t="s">
        <v>31</v>
      </c>
      <c r="K4" s="3" t="s">
        <v>32</v>
      </c>
      <c r="L4" s="3" t="s">
        <v>33</v>
      </c>
      <c r="M4" s="3" t="s">
        <v>34</v>
      </c>
      <c r="N4" s="3" t="s">
        <v>35</v>
      </c>
      <c r="O4" s="3" t="s">
        <v>36</v>
      </c>
      <c r="P4" s="3" t="s">
        <v>37</v>
      </c>
      <c r="Q4" s="3" t="s">
        <v>38</v>
      </c>
      <c r="R4" s="3" t="s">
        <v>39</v>
      </c>
      <c r="S4" s="3" t="s">
        <v>40</v>
      </c>
      <c r="T4" s="3" t="s">
        <v>41</v>
      </c>
      <c r="U4" s="3" t="s">
        <v>42</v>
      </c>
      <c r="V4" s="3" t="s">
        <v>43</v>
      </c>
      <c r="W4" s="3" t="s">
        <v>44</v>
      </c>
    </row>
    <row r="5" customFormat="false" ht="23.85" hidden="false" customHeight="false" outlineLevel="0" collapsed="false">
      <c r="A5" s="4" t="str">
        <f aca="false">Inputs!A4</f>
        <v>S1</v>
      </c>
      <c r="B5" s="5" t="str">
        <f aca="false">Inputs!B4</f>
        <v>Credential compromise of clinical administrator accounts through phishing and MFA fatigue</v>
      </c>
      <c r="C5" s="6" t="n">
        <f aca="false">Inputs!C4</f>
        <v>0.85</v>
      </c>
      <c r="D5" s="6" t="n">
        <f aca="false">Inputs!D4</f>
        <v>0.55</v>
      </c>
      <c r="E5" s="7" t="n">
        <f aca="false">Inputs!J4</f>
        <v>9.3</v>
      </c>
      <c r="F5" s="6" t="n">
        <f aca="false">Inputs!E4</f>
        <v>0.55</v>
      </c>
      <c r="G5" s="6" t="n">
        <f aca="false">Inputs!F4</f>
        <v>0.85</v>
      </c>
      <c r="H5" s="6" t="n">
        <f aca="false">Inputs!H4</f>
        <v>0.85</v>
      </c>
      <c r="I5" s="6" t="n">
        <f aca="false">Inputs!G4</f>
        <v>0.4</v>
      </c>
      <c r="J5" s="6" t="n">
        <f aca="false">Parameters!$B$4</f>
        <v>0.3</v>
      </c>
      <c r="K5" s="8" t="n">
        <f aca="false">Parameters!$B$5</f>
        <v>1000</v>
      </c>
      <c r="L5" s="9" t="n">
        <f aca="false">C5*D5*E5*((F5+G5)/2)*H5/I5*K5</f>
        <v>6467.278125</v>
      </c>
      <c r="M5" s="9" t="n">
        <f aca="false">C5*D5*E5*J5*H5/I5*K5</f>
        <v>2771.690625</v>
      </c>
      <c r="N5" s="10" t="n">
        <f aca="false">L5/M5</f>
        <v>2.33333333333333</v>
      </c>
      <c r="O5" s="11" t="n">
        <f aca="false">Portfolio!K17</f>
        <v>223888.888888889</v>
      </c>
      <c r="P5" s="6" t="n">
        <f aca="false">Inputs!K4</f>
        <v>0.8</v>
      </c>
      <c r="Q5" s="6" t="n">
        <f aca="false">Inputs!L4</f>
        <v>0.75</v>
      </c>
      <c r="R5" s="9" t="n">
        <f aca="false">L5*P5*Q5</f>
        <v>3880.366875</v>
      </c>
      <c r="S5" s="9" t="n">
        <f aca="false">L5-R5</f>
        <v>2586.91125</v>
      </c>
      <c r="T5" s="10" t="n">
        <f aca="false">S5/M5</f>
        <v>0.933333333333333</v>
      </c>
      <c r="U5" s="12" t="str">
        <f aca="false">IF(T5&lt;Parameters!$B$6,"Below tolerance",IF(T5&lt;=Parameters!$B$7,"Approximately at tolerance","Above tolerance"))</f>
        <v>Approximately at tolerance</v>
      </c>
      <c r="V5" s="10" t="n">
        <f aca="false">IF(O5=0,0,(L5-S5)/O5*1000)</f>
        <v>17.3316634615385</v>
      </c>
      <c r="W5" s="12" t="str">
        <f aca="false">IF(AND(P5&gt;=0,P5&lt;=1,Q5&gt;=0,Q5&lt;=1),"OK","CHECK")</f>
        <v>OK</v>
      </c>
    </row>
    <row r="6" customFormat="false" ht="23.85" hidden="false" customHeight="false" outlineLevel="0" collapsed="false">
      <c r="A6" s="4" t="str">
        <f aca="false">Inputs!A5</f>
        <v>S2</v>
      </c>
      <c r="B6" s="5" t="str">
        <f aca="false">Inputs!B5</f>
        <v>Ransomware disrupting EHR access and clinic operations across the network</v>
      </c>
      <c r="C6" s="6" t="n">
        <f aca="false">Inputs!C5</f>
        <v>0.75</v>
      </c>
      <c r="D6" s="6" t="n">
        <f aca="false">Inputs!D5</f>
        <v>0.5</v>
      </c>
      <c r="E6" s="7" t="n">
        <f aca="false">Inputs!J5</f>
        <v>9.3</v>
      </c>
      <c r="F6" s="6" t="n">
        <f aca="false">Inputs!E5</f>
        <v>0.7</v>
      </c>
      <c r="G6" s="6" t="n">
        <f aca="false">Inputs!F5</f>
        <v>0.95</v>
      </c>
      <c r="H6" s="6" t="n">
        <f aca="false">Inputs!H5</f>
        <v>0.95</v>
      </c>
      <c r="I6" s="6" t="n">
        <f aca="false">Inputs!G5</f>
        <v>0.35</v>
      </c>
      <c r="J6" s="6" t="n">
        <f aca="false">Parameters!$B$4</f>
        <v>0.3</v>
      </c>
      <c r="K6" s="8" t="n">
        <f aca="false">Parameters!$B$5</f>
        <v>1000</v>
      </c>
      <c r="L6" s="9" t="n">
        <f aca="false">C6*D6*E6*((F6+G6)/2)*H6/I6*K6</f>
        <v>7809.50892857143</v>
      </c>
      <c r="M6" s="9" t="n">
        <f aca="false">C6*D6*E6*J6*H6/I6*K6</f>
        <v>2839.82142857143</v>
      </c>
      <c r="N6" s="10" t="n">
        <f aca="false">L6/M6</f>
        <v>2.75</v>
      </c>
      <c r="O6" s="11" t="n">
        <f aca="false">Portfolio!L17</f>
        <v>585888.888888889</v>
      </c>
      <c r="P6" s="6" t="n">
        <f aca="false">Inputs!K5</f>
        <v>0.75</v>
      </c>
      <c r="Q6" s="6" t="n">
        <f aca="false">Inputs!L5</f>
        <v>0.75</v>
      </c>
      <c r="R6" s="9" t="n">
        <f aca="false">L6*P6*Q6</f>
        <v>4392.84877232143</v>
      </c>
      <c r="S6" s="9" t="n">
        <f aca="false">L6-R6</f>
        <v>3416.66015625</v>
      </c>
      <c r="T6" s="10" t="n">
        <f aca="false">S6/M6</f>
        <v>1.203125</v>
      </c>
      <c r="U6" s="12" t="str">
        <f aca="false">IF(T6&lt;Parameters!$B$6,"Below tolerance",IF(T6&lt;=Parameters!$B$7,"Approximately at tolerance","Above tolerance"))</f>
        <v>Above tolerance</v>
      </c>
      <c r="V6" s="10" t="n">
        <f aca="false">IF(O6=0,0,(L6-S6)/O6*1000)</f>
        <v>7.49775060703449</v>
      </c>
      <c r="W6" s="12" t="str">
        <f aca="false">IF(AND(P6&gt;=0,P6&lt;=1,Q6&gt;=0,Q6&lt;=1),"OK","CHECK")</f>
        <v>OK</v>
      </c>
    </row>
    <row r="7" customFormat="false" ht="23.85" hidden="false" customHeight="false" outlineLevel="0" collapsed="false">
      <c r="A7" s="4" t="str">
        <f aca="false">Inputs!A6</f>
        <v>S3</v>
      </c>
      <c r="B7" s="5" t="str">
        <f aca="false">Inputs!B6</f>
        <v>Backup environment compromised, preventing recovery after a destructive attack</v>
      </c>
      <c r="C7" s="6" t="n">
        <f aca="false">Inputs!C6</f>
        <v>0.55</v>
      </c>
      <c r="D7" s="6" t="n">
        <f aca="false">Inputs!D6</f>
        <v>0.5</v>
      </c>
      <c r="E7" s="7" t="n">
        <f aca="false">Inputs!J6</f>
        <v>9.2</v>
      </c>
      <c r="F7" s="6" t="n">
        <f aca="false">Inputs!E6</f>
        <v>0.6</v>
      </c>
      <c r="G7" s="6" t="n">
        <f aca="false">Inputs!F6</f>
        <v>0.9</v>
      </c>
      <c r="H7" s="6" t="n">
        <f aca="false">Inputs!H6</f>
        <v>0.9</v>
      </c>
      <c r="I7" s="6" t="n">
        <f aca="false">Inputs!G6</f>
        <v>0.35</v>
      </c>
      <c r="J7" s="6" t="n">
        <f aca="false">Parameters!$B$4</f>
        <v>0.3</v>
      </c>
      <c r="K7" s="8" t="n">
        <f aca="false">Parameters!$B$5</f>
        <v>1000</v>
      </c>
      <c r="L7" s="9" t="n">
        <f aca="false">C7*D7*E7*((F7+G7)/2)*H7/I7*K7</f>
        <v>4879.28571428572</v>
      </c>
      <c r="M7" s="9" t="n">
        <f aca="false">C7*D7*E7*J7*H7/I7*K7</f>
        <v>1951.71428571429</v>
      </c>
      <c r="N7" s="10" t="n">
        <f aca="false">L7/M7</f>
        <v>2.5</v>
      </c>
      <c r="O7" s="11" t="n">
        <f aca="false">Portfolio!M17</f>
        <v>423888.888888889</v>
      </c>
      <c r="P7" s="6" t="n">
        <f aca="false">Inputs!K6</f>
        <v>0.8</v>
      </c>
      <c r="Q7" s="6" t="n">
        <f aca="false">Inputs!L6</f>
        <v>0.85</v>
      </c>
      <c r="R7" s="9" t="n">
        <f aca="false">L7*P7*Q7</f>
        <v>3317.91428571429</v>
      </c>
      <c r="S7" s="9" t="n">
        <f aca="false">L7-R7</f>
        <v>1561.37142857143</v>
      </c>
      <c r="T7" s="10" t="n">
        <f aca="false">S7/M7</f>
        <v>0.8</v>
      </c>
      <c r="U7" s="12" t="str">
        <f aca="false">IF(T7&lt;Parameters!$B$6,"Below tolerance",IF(T7&lt;=Parameters!$B$7,"Approximately at tolerance","Above tolerance"))</f>
        <v>Below tolerance</v>
      </c>
      <c r="V7" s="10" t="n">
        <f aca="false">IF(O7=0,0,(L7-S7)/O7*1000)</f>
        <v>7.82732072645572</v>
      </c>
      <c r="W7" s="12" t="str">
        <f aca="false">IF(AND(P7&gt;=0,P7&lt;=1,Q7&gt;=0,Q7&lt;=1),"OK","CHECK")</f>
        <v>OK</v>
      </c>
    </row>
    <row r="8" customFormat="false" ht="23.85" hidden="false" customHeight="false" outlineLevel="0" collapsed="false">
      <c r="A8" s="4" t="str">
        <f aca="false">Inputs!A7</f>
        <v>S4</v>
      </c>
      <c r="B8" s="5" t="str">
        <f aca="false">Inputs!B7</f>
        <v>Cloud medical-image transfer storage exposed, enabling bulk health-data exfiltration</v>
      </c>
      <c r="C8" s="6" t="n">
        <f aca="false">Inputs!C7</f>
        <v>0.6</v>
      </c>
      <c r="D8" s="6" t="n">
        <f aca="false">Inputs!D7</f>
        <v>0.45</v>
      </c>
      <c r="E8" s="7" t="n">
        <f aca="false">Inputs!J7</f>
        <v>8.7</v>
      </c>
      <c r="F8" s="6" t="n">
        <f aca="false">Inputs!E7</f>
        <v>0.55</v>
      </c>
      <c r="G8" s="6" t="n">
        <f aca="false">Inputs!F7</f>
        <v>0.8</v>
      </c>
      <c r="H8" s="6" t="n">
        <f aca="false">Inputs!H7</f>
        <v>0.75</v>
      </c>
      <c r="I8" s="6" t="n">
        <f aca="false">Inputs!G7</f>
        <v>0.4</v>
      </c>
      <c r="J8" s="6" t="n">
        <f aca="false">Parameters!$B$4</f>
        <v>0.3</v>
      </c>
      <c r="K8" s="8" t="n">
        <f aca="false">Parameters!$B$5</f>
        <v>1000</v>
      </c>
      <c r="L8" s="9" t="n">
        <f aca="false">C8*D8*E8*((F8+G8)/2)*H8/I8*K8</f>
        <v>2972.953125</v>
      </c>
      <c r="M8" s="9" t="n">
        <f aca="false">C8*D8*E8*J8*H8/I8*K8</f>
        <v>1321.3125</v>
      </c>
      <c r="N8" s="10" t="n">
        <f aca="false">L8/M8</f>
        <v>2.25</v>
      </c>
      <c r="O8" s="11" t="n">
        <f aca="false">Portfolio!N17</f>
        <v>345555.555555556</v>
      </c>
      <c r="P8" s="6" t="n">
        <f aca="false">Inputs!K7</f>
        <v>0.85</v>
      </c>
      <c r="Q8" s="6" t="n">
        <f aca="false">Inputs!L7</f>
        <v>0.7</v>
      </c>
      <c r="R8" s="9" t="n">
        <f aca="false">L8*P8*Q8</f>
        <v>1768.907109375</v>
      </c>
      <c r="S8" s="9" t="n">
        <f aca="false">L8-R8</f>
        <v>1204.046015625</v>
      </c>
      <c r="T8" s="10" t="n">
        <f aca="false">S8/M8</f>
        <v>0.91125</v>
      </c>
      <c r="U8" s="12" t="str">
        <f aca="false">IF(T8&lt;Parameters!$B$6,"Below tolerance",IF(T8&lt;=Parameters!$B$7,"Approximately at tolerance","Above tolerance"))</f>
        <v>Approximately at tolerance</v>
      </c>
      <c r="V8" s="10" t="n">
        <f aca="false">IF(O8=0,0,(L8-S8)/O8*1000)</f>
        <v>5.1190237891881</v>
      </c>
      <c r="W8" s="12" t="str">
        <f aca="false">IF(AND(P8&gt;=0,P8&lt;=1,Q8&gt;=0,Q8&lt;=1),"OK","CHECK")</f>
        <v>OK</v>
      </c>
    </row>
    <row r="9" customFormat="false" ht="23.85" hidden="false" customHeight="false" outlineLevel="0" collapsed="false">
      <c r="A9" s="4" t="str">
        <f aca="false">Inputs!A8</f>
        <v>S5</v>
      </c>
      <c r="B9" s="5" t="str">
        <f aca="false">Inputs!B8</f>
        <v>Misuse of legitimate clinical, privileged or service-account access to extract patient records</v>
      </c>
      <c r="C9" s="6" t="n">
        <f aca="false">Inputs!C8</f>
        <v>0.6</v>
      </c>
      <c r="D9" s="6" t="n">
        <f aca="false">Inputs!D8</f>
        <v>0.55</v>
      </c>
      <c r="E9" s="7" t="n">
        <f aca="false">Inputs!J8</f>
        <v>7.1</v>
      </c>
      <c r="F9" s="6" t="n">
        <f aca="false">Inputs!E8</f>
        <v>0.45</v>
      </c>
      <c r="G9" s="6" t="n">
        <f aca="false">Inputs!F8</f>
        <v>0.75</v>
      </c>
      <c r="H9" s="6" t="n">
        <f aca="false">Inputs!H8</f>
        <v>0.8</v>
      </c>
      <c r="I9" s="6" t="n">
        <f aca="false">Inputs!G8</f>
        <v>0.4</v>
      </c>
      <c r="J9" s="6" t="n">
        <f aca="false">Parameters!$B$4</f>
        <v>0.3</v>
      </c>
      <c r="K9" s="8" t="n">
        <f aca="false">Parameters!$B$5</f>
        <v>1000</v>
      </c>
      <c r="L9" s="9" t="n">
        <f aca="false">C9*D9*E9*((F9+G9)/2)*H9/I9*K9</f>
        <v>2811.6</v>
      </c>
      <c r="M9" s="9" t="n">
        <f aca="false">C9*D9*E9*J9*H9/I9*K9</f>
        <v>1405.8</v>
      </c>
      <c r="N9" s="10" t="n">
        <f aca="false">L9/M9</f>
        <v>2</v>
      </c>
      <c r="O9" s="11" t="n">
        <f aca="false">Portfolio!O17</f>
        <v>260555.555555556</v>
      </c>
      <c r="P9" s="6" t="n">
        <f aca="false">Inputs!K8</f>
        <v>0.6</v>
      </c>
      <c r="Q9" s="6" t="n">
        <f aca="false">Inputs!L8</f>
        <v>0.65</v>
      </c>
      <c r="R9" s="9" t="n">
        <f aca="false">L9*P9*Q9</f>
        <v>1096.524</v>
      </c>
      <c r="S9" s="9" t="n">
        <f aca="false">L9-R9</f>
        <v>1715.076</v>
      </c>
      <c r="T9" s="10" t="n">
        <f aca="false">S9/M9</f>
        <v>1.22</v>
      </c>
      <c r="U9" s="12" t="str">
        <f aca="false">IF(T9&lt;Parameters!$B$6,"Below tolerance",IF(T9&lt;=Parameters!$B$7,"Approximately at tolerance","Above tolerance"))</f>
        <v>Above tolerance</v>
      </c>
      <c r="V9" s="10" t="n">
        <f aca="false">IF(O9=0,0,(L9-S9)/O9*1000)</f>
        <v>4.20840767590618</v>
      </c>
      <c r="W9" s="12" t="str">
        <f aca="false">IF(AND(P9&gt;=0,P9&lt;=1,Q9&gt;=0,Q9&lt;=1),"OK","CHECK")</f>
        <v>OK</v>
      </c>
    </row>
    <row r="10" customFormat="false" ht="15" hidden="false" customHeight="false" outlineLevel="0" collapsed="false">
      <c r="A10" s="4" t="str">
        <f aca="false">Inputs!A9</f>
        <v>S6</v>
      </c>
      <c r="B10" s="5" t="str">
        <f aca="false">Inputs!B9</f>
        <v>Exploitation of unpatched internet-facing or end-of-life systems</v>
      </c>
      <c r="C10" s="6" t="n">
        <f aca="false">Inputs!C9</f>
        <v>0.8</v>
      </c>
      <c r="D10" s="6" t="n">
        <f aca="false">Inputs!D9</f>
        <v>0.5</v>
      </c>
      <c r="E10" s="7" t="n">
        <f aca="false">Inputs!J9</f>
        <v>10</v>
      </c>
      <c r="F10" s="6" t="n">
        <f aca="false">Inputs!E9</f>
        <v>0.6</v>
      </c>
      <c r="G10" s="6" t="n">
        <f aca="false">Inputs!F9</f>
        <v>0.9</v>
      </c>
      <c r="H10" s="6" t="n">
        <f aca="false">Inputs!H9</f>
        <v>0.85</v>
      </c>
      <c r="I10" s="6" t="n">
        <f aca="false">Inputs!G9</f>
        <v>0.4</v>
      </c>
      <c r="J10" s="6" t="n">
        <f aca="false">Parameters!$B$4</f>
        <v>0.3</v>
      </c>
      <c r="K10" s="8" t="n">
        <f aca="false">Parameters!$B$5</f>
        <v>1000</v>
      </c>
      <c r="L10" s="9" t="n">
        <f aca="false">C10*D10*E10*((F10+G10)/2)*H10/I10*K10</f>
        <v>6375</v>
      </c>
      <c r="M10" s="9" t="n">
        <f aca="false">C10*D10*E10*J10*H10/I10*K10</f>
        <v>2550</v>
      </c>
      <c r="N10" s="10" t="n">
        <f aca="false">L10/M10</f>
        <v>2.5</v>
      </c>
      <c r="O10" s="11" t="n">
        <f aca="false">Portfolio!P17</f>
        <v>320888.888888889</v>
      </c>
      <c r="P10" s="6" t="n">
        <f aca="false">Inputs!K9</f>
        <v>0.85</v>
      </c>
      <c r="Q10" s="6" t="n">
        <f aca="false">Inputs!L9</f>
        <v>0.7</v>
      </c>
      <c r="R10" s="9" t="n">
        <f aca="false">L10*P10*Q10</f>
        <v>3793.125</v>
      </c>
      <c r="S10" s="9" t="n">
        <f aca="false">L10-R10</f>
        <v>2581.875</v>
      </c>
      <c r="T10" s="10" t="n">
        <f aca="false">S10/M10</f>
        <v>1.0125</v>
      </c>
      <c r="U10" s="12" t="str">
        <f aca="false">IF(T10&lt;Parameters!$B$6,"Below tolerance",IF(T10&lt;=Parameters!$B$7,"Approximately at tolerance","Above tolerance"))</f>
        <v>Approximately at tolerance</v>
      </c>
      <c r="V10" s="10" t="n">
        <f aca="false">IF(O10=0,0,(L10-S10)/O10*1000)</f>
        <v>11.820680401662</v>
      </c>
      <c r="W10" s="12" t="str">
        <f aca="false">IF(AND(P10&gt;=0,P10&lt;=1,Q10&gt;=0,Q10&lt;=1),"OK","CHECK")</f>
        <v>OK</v>
      </c>
    </row>
    <row r="11" customFormat="false" ht="23.85" hidden="false" customHeight="false" outlineLevel="0" collapsed="false">
      <c r="A11" s="4" t="str">
        <f aca="false">Inputs!A10</f>
        <v>S7</v>
      </c>
      <c r="B11" s="5" t="str">
        <f aca="false">Inputs!B10</f>
        <v>Connected medical device used as a foothold to disrupt clinical equipment and reach the EHR network</v>
      </c>
      <c r="C11" s="6" t="n">
        <f aca="false">Inputs!C10</f>
        <v>0.45</v>
      </c>
      <c r="D11" s="6" t="n">
        <f aca="false">Inputs!D10</f>
        <v>0.5</v>
      </c>
      <c r="E11" s="7" t="n">
        <f aca="false">Inputs!J10</f>
        <v>8.7</v>
      </c>
      <c r="F11" s="6" t="n">
        <f aca="false">Inputs!E10</f>
        <v>0.55</v>
      </c>
      <c r="G11" s="6" t="n">
        <f aca="false">Inputs!F10</f>
        <v>0.95</v>
      </c>
      <c r="H11" s="6" t="n">
        <f aca="false">Inputs!H10</f>
        <v>0.9</v>
      </c>
      <c r="I11" s="6" t="n">
        <f aca="false">Inputs!G10</f>
        <v>0.35</v>
      </c>
      <c r="J11" s="6" t="n">
        <f aca="false">Parameters!$B$4</f>
        <v>0.3</v>
      </c>
      <c r="K11" s="8" t="n">
        <f aca="false">Parameters!$B$5</f>
        <v>1000</v>
      </c>
      <c r="L11" s="9" t="n">
        <f aca="false">C11*D11*E11*((F11+G11)/2)*H11/I11*K11</f>
        <v>3775.17857142857</v>
      </c>
      <c r="M11" s="9" t="n">
        <f aca="false">C11*D11*E11*J11*H11/I11*K11</f>
        <v>1510.07142857143</v>
      </c>
      <c r="N11" s="10" t="n">
        <f aca="false">L11/M11</f>
        <v>2.5</v>
      </c>
      <c r="O11" s="11" t="n">
        <f aca="false">Portfolio!Q17</f>
        <v>522000</v>
      </c>
      <c r="P11" s="6" t="n">
        <f aca="false">Inputs!K10</f>
        <v>0.7</v>
      </c>
      <c r="Q11" s="6" t="n">
        <f aca="false">Inputs!L10</f>
        <v>0.6</v>
      </c>
      <c r="R11" s="9" t="n">
        <f aca="false">L11*P11*Q11</f>
        <v>1585.575</v>
      </c>
      <c r="S11" s="9" t="n">
        <f aca="false">L11-R11</f>
        <v>2189.60357142857</v>
      </c>
      <c r="T11" s="10" t="n">
        <f aca="false">S11/M11</f>
        <v>1.45</v>
      </c>
      <c r="U11" s="12" t="str">
        <f aca="false">IF(T11&lt;Parameters!$B$6,"Below tolerance",IF(T11&lt;=Parameters!$B$7,"Approximately at tolerance","Above tolerance"))</f>
        <v>Above tolerance</v>
      </c>
      <c r="V11" s="10" t="n">
        <f aca="false">IF(O11=0,0,(L11-S11)/O11*1000)</f>
        <v>3.0375</v>
      </c>
      <c r="W11" s="12" t="str">
        <f aca="false">IF(AND(P11&gt;=0,P11&lt;=1,Q11&gt;=0,Q11&lt;=1),"OK","CHECK")</f>
        <v>OK</v>
      </c>
    </row>
    <row r="12" customFormat="false" ht="23.85" hidden="false" customHeight="false" outlineLevel="0" collapsed="false">
      <c r="A12" s="4" t="str">
        <f aca="false">Inputs!A11</f>
        <v>S8</v>
      </c>
      <c r="B12" s="5" t="str">
        <f aca="false">Inputs!B11</f>
        <v>Detection and response gaps allow an intrusion to persist and escalate</v>
      </c>
      <c r="C12" s="6" t="n">
        <f aca="false">Inputs!C11</f>
        <v>0.8</v>
      </c>
      <c r="D12" s="6" t="n">
        <f aca="false">Inputs!D11</f>
        <v>0.6</v>
      </c>
      <c r="E12" s="7" t="n">
        <f aca="false">Inputs!J11</f>
        <v>9.2</v>
      </c>
      <c r="F12" s="6" t="n">
        <f aca="false">Inputs!E11</f>
        <v>0.6</v>
      </c>
      <c r="G12" s="6" t="n">
        <f aca="false">Inputs!F11</f>
        <v>0.9</v>
      </c>
      <c r="H12" s="6" t="n">
        <f aca="false">Inputs!H11</f>
        <v>0.85</v>
      </c>
      <c r="I12" s="6" t="n">
        <f aca="false">Inputs!G11</f>
        <v>0.3</v>
      </c>
      <c r="J12" s="6" t="n">
        <f aca="false">Parameters!$B$4</f>
        <v>0.3</v>
      </c>
      <c r="K12" s="8" t="n">
        <f aca="false">Parameters!$B$5</f>
        <v>1000</v>
      </c>
      <c r="L12" s="9" t="n">
        <f aca="false">C12*D12*E12*((F12+G12)/2)*H12/I12*K12</f>
        <v>9384</v>
      </c>
      <c r="M12" s="9" t="n">
        <f aca="false">C12*D12*E12*J12*H12/I12*K12</f>
        <v>3753.6</v>
      </c>
      <c r="N12" s="10" t="n">
        <f aca="false">L12/M12</f>
        <v>2.5</v>
      </c>
      <c r="O12" s="11" t="n">
        <f aca="false">Portfolio!R17</f>
        <v>208888.888888889</v>
      </c>
      <c r="P12" s="6" t="n">
        <f aca="false">Inputs!K11</f>
        <v>0.7</v>
      </c>
      <c r="Q12" s="6" t="n">
        <f aca="false">Inputs!L11</f>
        <v>0.8</v>
      </c>
      <c r="R12" s="9" t="n">
        <f aca="false">L12*P12*Q12</f>
        <v>5255.04</v>
      </c>
      <c r="S12" s="9" t="n">
        <f aca="false">L12-R12</f>
        <v>4128.96</v>
      </c>
      <c r="T12" s="10" t="n">
        <f aca="false">S12/M12</f>
        <v>1.1</v>
      </c>
      <c r="U12" s="12" t="str">
        <f aca="false">IF(T12&lt;Parameters!$B$6,"Below tolerance",IF(T12&lt;=Parameters!$B$7,"Approximately at tolerance","Above tolerance"))</f>
        <v>Approximately at tolerance</v>
      </c>
      <c r="V12" s="10" t="n">
        <f aca="false">IF(O12=0,0,(L12-S12)/O12*1000)</f>
        <v>25.1571063829787</v>
      </c>
      <c r="W12" s="12" t="str">
        <f aca="false">IF(AND(P12&gt;=0,P12&lt;=1,Q12&gt;=0,Q12&lt;=1),"OK","CHECK")</f>
        <v>OK</v>
      </c>
    </row>
    <row r="13" customFormat="false" ht="23.85" hidden="false" customHeight="false" outlineLevel="0" collapsed="false">
      <c r="A13" s="4" t="str">
        <f aca="false">Inputs!A12</f>
        <v>S9</v>
      </c>
      <c r="B13" s="5" t="str">
        <f aca="false">Inputs!B12</f>
        <v>Compromise of a critical vendor with remote access to MediBec systems</v>
      </c>
      <c r="C13" s="6" t="n">
        <f aca="false">Inputs!C12</f>
        <v>0.55</v>
      </c>
      <c r="D13" s="6" t="n">
        <f aca="false">Inputs!D12</f>
        <v>0.45</v>
      </c>
      <c r="E13" s="7" t="n">
        <f aca="false">Inputs!J12</f>
        <v>9</v>
      </c>
      <c r="F13" s="6" t="n">
        <f aca="false">Inputs!E12</f>
        <v>0.6</v>
      </c>
      <c r="G13" s="6" t="n">
        <f aca="false">Inputs!F12</f>
        <v>0.9</v>
      </c>
      <c r="H13" s="6" t="n">
        <f aca="false">Inputs!H12</f>
        <v>0.85</v>
      </c>
      <c r="I13" s="6" t="n">
        <f aca="false">Inputs!G12</f>
        <v>0.35</v>
      </c>
      <c r="J13" s="6" t="n">
        <f aca="false">Parameters!$B$4</f>
        <v>0.3</v>
      </c>
      <c r="K13" s="8" t="n">
        <f aca="false">Parameters!$B$5</f>
        <v>1000</v>
      </c>
      <c r="L13" s="9" t="n">
        <f aca="false">C13*D13*E13*((F13+G13)/2)*H13/I13*K13</f>
        <v>4057.23214285714</v>
      </c>
      <c r="M13" s="9" t="n">
        <f aca="false">C13*D13*E13*J13*H13/I13*K13</f>
        <v>1622.89285714286</v>
      </c>
      <c r="N13" s="10" t="n">
        <f aca="false">L13/M13</f>
        <v>2.5</v>
      </c>
      <c r="O13" s="11" t="n">
        <f aca="false">Portfolio!S17</f>
        <v>383888.888888889</v>
      </c>
      <c r="P13" s="6" t="n">
        <f aca="false">Inputs!K12</f>
        <v>0.55</v>
      </c>
      <c r="Q13" s="6" t="n">
        <f aca="false">Inputs!L12</f>
        <v>0.7</v>
      </c>
      <c r="R13" s="9" t="n">
        <f aca="false">L13*P13*Q13</f>
        <v>1562.034375</v>
      </c>
      <c r="S13" s="9" t="n">
        <f aca="false">L13-R13</f>
        <v>2495.19776785714</v>
      </c>
      <c r="T13" s="10" t="n">
        <f aca="false">S13/M13</f>
        <v>1.5375</v>
      </c>
      <c r="U13" s="12" t="str">
        <f aca="false">IF(T13&lt;Parameters!$B$6,"Below tolerance",IF(T13&lt;=Parameters!$B$7,"Approximately at tolerance","Above tolerance"))</f>
        <v>Above tolerance</v>
      </c>
      <c r="V13" s="10" t="n">
        <f aca="false">IF(O13=0,0,(L13-S13)/O13*1000)</f>
        <v>4.0689752170767</v>
      </c>
      <c r="W13" s="12" t="str">
        <f aca="false">IF(AND(P13&gt;=0,P13&lt;=1,Q13&gt;=0,Q13&lt;=1),"OK","CHECK")</f>
        <v>OK</v>
      </c>
    </row>
    <row r="14" customFormat="false" ht="23.85" hidden="false" customHeight="false" outlineLevel="0" collapsed="false">
      <c r="A14" s="4" t="str">
        <f aca="false">Inputs!A13</f>
        <v>S10</v>
      </c>
      <c r="B14" s="5" t="str">
        <f aca="false">Inputs!B13</f>
        <v>Manipulation of patient, medication or billing records undermining clinical decisions</v>
      </c>
      <c r="C14" s="6" t="n">
        <f aca="false">Inputs!C13</f>
        <v>0.3</v>
      </c>
      <c r="D14" s="6" t="n">
        <f aca="false">Inputs!D13</f>
        <v>0.4</v>
      </c>
      <c r="E14" s="7" t="n">
        <f aca="false">Inputs!J13</f>
        <v>8.3</v>
      </c>
      <c r="F14" s="6" t="n">
        <f aca="false">Inputs!E13</f>
        <v>0.55</v>
      </c>
      <c r="G14" s="6" t="n">
        <f aca="false">Inputs!F13</f>
        <v>0.95</v>
      </c>
      <c r="H14" s="6" t="n">
        <f aca="false">Inputs!H13</f>
        <v>0.95</v>
      </c>
      <c r="I14" s="6" t="n">
        <f aca="false">Inputs!G13</f>
        <v>0.4</v>
      </c>
      <c r="J14" s="6" t="n">
        <f aca="false">Parameters!$B$4</f>
        <v>0.3</v>
      </c>
      <c r="K14" s="8" t="n">
        <f aca="false">Parameters!$B$5</f>
        <v>1000</v>
      </c>
      <c r="L14" s="9" t="n">
        <f aca="false">C14*D14*E14*((F14+G14)/2)*H14/I14*K14</f>
        <v>1774.125</v>
      </c>
      <c r="M14" s="9" t="n">
        <f aca="false">C14*D14*E14*J14*H14/I14*K14</f>
        <v>709.65</v>
      </c>
      <c r="N14" s="10" t="n">
        <f aca="false">L14/M14</f>
        <v>2.5</v>
      </c>
      <c r="O14" s="11" t="n">
        <f aca="false">Portfolio!T17</f>
        <v>590555.555555556</v>
      </c>
      <c r="P14" s="6" t="n">
        <f aca="false">Inputs!K13</f>
        <v>0.7</v>
      </c>
      <c r="Q14" s="6" t="n">
        <f aca="false">Inputs!L13</f>
        <v>0.75</v>
      </c>
      <c r="R14" s="9" t="n">
        <f aca="false">L14*P14*Q14</f>
        <v>931.415625</v>
      </c>
      <c r="S14" s="9" t="n">
        <f aca="false">L14-R14</f>
        <v>842.709375</v>
      </c>
      <c r="T14" s="10" t="n">
        <f aca="false">S14/M14</f>
        <v>1.1875</v>
      </c>
      <c r="U14" s="12" t="str">
        <f aca="false">IF(T14&lt;Parameters!$B$6,"Below tolerance",IF(T14&lt;=Parameters!$B$7,"Approximately at tolerance","Above tolerance"))</f>
        <v>Above tolerance</v>
      </c>
      <c r="V14" s="10" t="n">
        <f aca="false">IF(O14=0,0,(L14-S14)/O14*1000)</f>
        <v>1.57718544214487</v>
      </c>
      <c r="W14" s="12" t="str">
        <f aca="false">IF(AND(P14&gt;=0,P14&lt;=1,Q14&gt;=0,Q14&lt;=1),"OK","CHECK")</f>
        <v>OK</v>
      </c>
    </row>
    <row r="15" customFormat="false" ht="15" hidden="false" customHeight="false" outlineLevel="0" collapsed="false">
      <c r="B15" s="13" t="s">
        <v>45</v>
      </c>
      <c r="L15" s="14" t="n">
        <f aca="false">SUM(L5:L14)</f>
        <v>50306.1616071429</v>
      </c>
      <c r="M15" s="14" t="n">
        <f aca="false">SUM(M5:M14)</f>
        <v>20436.553125</v>
      </c>
      <c r="O15" s="15" t="n">
        <f aca="false">SUM(O5:O14)</f>
        <v>3866000</v>
      </c>
      <c r="R15" s="14" t="n">
        <f aca="false">SUM(R5:R14)</f>
        <v>27583.7510424107</v>
      </c>
      <c r="S15" s="14" t="n">
        <f aca="false">SUM(S5:S14)</f>
        <v>22722.4105647321</v>
      </c>
      <c r="T15" s="16" t="n">
        <f aca="false">S15/M15</f>
        <v>1.11185141769019</v>
      </c>
      <c r="V15" s="16" t="n">
        <f aca="false">(L15-S15)/O15*1000</f>
        <v>7.13495888318953</v>
      </c>
    </row>
    <row r="17" customFormat="false" ht="15" hidden="false" customHeight="false" outlineLevel="0" collapsed="false">
      <c r="B17" s="2" t="s">
        <v>46</v>
      </c>
    </row>
  </sheetData>
  <conditionalFormatting sqref="T5:T14">
    <cfRule type="cellIs" priority="2" operator="greaterThan" aboveAverage="0" equalAverage="0" bottom="0" percent="0" rank="0" text="" dxfId="0">
      <formula>Parameters!$B$7</formula>
    </cfRule>
    <cfRule type="cellIs" priority="3" operator="between" aboveAverage="0" equalAverage="0" bottom="0" percent="0" rank="0" text="" dxfId="1">
      <formula>Parameters!$B$6</formula>
      <formula>Parameters!$B$7</formula>
    </cfRule>
    <cfRule type="cellIs" priority="4" operator="lessThan" aboveAverage="0" equalAverage="0" bottom="0" percent="0" rank="0" text="" dxfId="2">
      <formula>Parameters!$B$6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2"/>
    <col collapsed="false" customWidth="true" hidden="false" outlineLevel="0" max="3" min="3" style="0" width="90"/>
  </cols>
  <sheetData>
    <row r="1" customFormat="false" ht="17.35" hidden="false" customHeight="false" outlineLevel="0" collapsed="false">
      <c r="A1" s="1" t="s">
        <v>47</v>
      </c>
    </row>
    <row r="3" customFormat="false" ht="15" hidden="false" customHeight="false" outlineLevel="0" collapsed="false">
      <c r="A3" s="3" t="s">
        <v>48</v>
      </c>
      <c r="B3" s="3" t="s">
        <v>49</v>
      </c>
      <c r="C3" s="3" t="s">
        <v>50</v>
      </c>
    </row>
    <row r="4" customFormat="false" ht="15" hidden="false" customHeight="false" outlineLevel="0" collapsed="false">
      <c r="A4" s="12" t="s">
        <v>51</v>
      </c>
      <c r="B4" s="17" t="n">
        <v>0.3</v>
      </c>
      <c r="C4" s="12" t="s">
        <v>52</v>
      </c>
    </row>
    <row r="5" customFormat="false" ht="15" hidden="false" customHeight="false" outlineLevel="0" collapsed="false">
      <c r="A5" s="12" t="s">
        <v>53</v>
      </c>
      <c r="B5" s="18" t="n">
        <v>1000</v>
      </c>
      <c r="C5" s="12" t="s">
        <v>54</v>
      </c>
    </row>
    <row r="6" customFormat="false" ht="15" hidden="false" customHeight="false" outlineLevel="0" collapsed="false">
      <c r="A6" s="12" t="s">
        <v>55</v>
      </c>
      <c r="B6" s="18" t="n">
        <v>0.9</v>
      </c>
      <c r="C6" s="12" t="s">
        <v>56</v>
      </c>
    </row>
    <row r="7" customFormat="false" ht="15" hidden="false" customHeight="false" outlineLevel="0" collapsed="false">
      <c r="A7" s="12" t="s">
        <v>57</v>
      </c>
      <c r="B7" s="18" t="n">
        <v>1.1</v>
      </c>
      <c r="C7" s="12" t="s">
        <v>58</v>
      </c>
    </row>
    <row r="8" customFormat="false" ht="15" hidden="false" customHeight="false" outlineLevel="0" collapsed="false">
      <c r="A8" s="12" t="s">
        <v>59</v>
      </c>
      <c r="B8" s="18" t="n">
        <v>0.4</v>
      </c>
      <c r="C8" s="12" t="s">
        <v>60</v>
      </c>
    </row>
    <row r="9" customFormat="false" ht="15" hidden="false" customHeight="false" outlineLevel="0" collapsed="false">
      <c r="A9" s="12" t="s">
        <v>61</v>
      </c>
      <c r="B9" s="18" t="n">
        <v>0.1</v>
      </c>
      <c r="C9" s="12" t="s">
        <v>62</v>
      </c>
    </row>
    <row r="10" customFormat="false" ht="15" hidden="false" customHeight="false" outlineLevel="0" collapsed="false">
      <c r="A10" s="12" t="s">
        <v>63</v>
      </c>
      <c r="B10" s="18" t="n">
        <v>0.25</v>
      </c>
      <c r="C10" s="12" t="s">
        <v>60</v>
      </c>
    </row>
    <row r="11" customFormat="false" ht="15" hidden="false" customHeight="false" outlineLevel="0" collapsed="false">
      <c r="A11" s="12" t="s">
        <v>64</v>
      </c>
      <c r="B11" s="18" t="n">
        <v>0.4</v>
      </c>
      <c r="C11" s="12" t="s">
        <v>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60"/>
    <col collapsed="false" customWidth="true" hidden="false" outlineLevel="0" max="3" min="3" style="0" width="8"/>
    <col collapsed="false" customWidth="true" hidden="false" outlineLevel="0" max="4" min="4" style="0" width="9"/>
    <col collapsed="false" customWidth="true" hidden="false" outlineLevel="0" max="8" min="5" style="0" width="7"/>
    <col collapsed="false" customWidth="true" hidden="false" outlineLevel="0" max="9" min="9" style="0" width="62"/>
    <col collapsed="false" customWidth="true" hidden="false" outlineLevel="0" max="10" min="10" style="0" width="8"/>
    <col collapsed="false" customWidth="true" hidden="false" outlineLevel="0" max="12" min="11" style="0" width="10"/>
    <col collapsed="false" customWidth="true" hidden="false" outlineLevel="0" max="13" min="13" style="0" width="8"/>
    <col collapsed="false" customWidth="true" hidden="false" outlineLevel="0" max="14" min="14" style="0" width="9"/>
    <col collapsed="false" customWidth="true" hidden="false" outlineLevel="0" max="18" min="15" style="0" width="8"/>
  </cols>
  <sheetData>
    <row r="1" customFormat="false" ht="17.35" hidden="false" customHeight="false" outlineLevel="0" collapsed="false">
      <c r="A1" s="1" t="s">
        <v>65</v>
      </c>
    </row>
    <row r="3" customFormat="false" ht="23.85" hidden="false" customHeight="false" outlineLevel="0" collapsed="false">
      <c r="A3" s="3" t="s">
        <v>22</v>
      </c>
      <c r="B3" s="3" t="s">
        <v>23</v>
      </c>
      <c r="C3" s="3" t="s">
        <v>24</v>
      </c>
      <c r="D3" s="3" t="s">
        <v>25</v>
      </c>
      <c r="E3" s="3" t="s">
        <v>27</v>
      </c>
      <c r="F3" s="3" t="s">
        <v>28</v>
      </c>
      <c r="G3" s="3" t="s">
        <v>30</v>
      </c>
      <c r="H3" s="3" t="s">
        <v>29</v>
      </c>
      <c r="I3" s="3" t="s">
        <v>66</v>
      </c>
      <c r="J3" s="3" t="s">
        <v>26</v>
      </c>
      <c r="K3" s="3" t="s">
        <v>37</v>
      </c>
      <c r="L3" s="3" t="s">
        <v>38</v>
      </c>
      <c r="M3" s="3" t="s">
        <v>67</v>
      </c>
      <c r="N3" s="3" t="s">
        <v>68</v>
      </c>
      <c r="O3" s="3" t="s">
        <v>69</v>
      </c>
      <c r="P3" s="3" t="s">
        <v>70</v>
      </c>
      <c r="Q3" s="3" t="s">
        <v>71</v>
      </c>
      <c r="R3" s="3" t="s">
        <v>72</v>
      </c>
    </row>
    <row r="4" customFormat="false" ht="23.85" hidden="false" customHeight="false" outlineLevel="0" collapsed="false">
      <c r="A4" s="12" t="s">
        <v>73</v>
      </c>
      <c r="B4" s="19" t="s">
        <v>74</v>
      </c>
      <c r="C4" s="20" t="n">
        <v>0.85</v>
      </c>
      <c r="D4" s="20" t="n">
        <v>0.55</v>
      </c>
      <c r="E4" s="20" t="n">
        <v>0.55</v>
      </c>
      <c r="F4" s="20" t="n">
        <v>0.85</v>
      </c>
      <c r="G4" s="20" t="n">
        <v>0.4</v>
      </c>
      <c r="H4" s="20" t="n">
        <v>0.85</v>
      </c>
      <c r="I4" s="18" t="s">
        <v>75</v>
      </c>
      <c r="J4" s="21" t="n">
        <v>9.3</v>
      </c>
      <c r="K4" s="20" t="n">
        <v>0.8</v>
      </c>
      <c r="L4" s="20" t="n">
        <v>0.75</v>
      </c>
      <c r="M4" s="18" t="s">
        <v>76</v>
      </c>
      <c r="N4" s="18" t="s">
        <v>77</v>
      </c>
      <c r="O4" s="18" t="s">
        <v>76</v>
      </c>
      <c r="P4" s="18" t="s">
        <v>76</v>
      </c>
      <c r="Q4" s="18" t="s">
        <v>76</v>
      </c>
      <c r="R4" s="18" t="s">
        <v>78</v>
      </c>
    </row>
    <row r="5" customFormat="false" ht="23.85" hidden="false" customHeight="false" outlineLevel="0" collapsed="false">
      <c r="A5" s="12" t="s">
        <v>79</v>
      </c>
      <c r="B5" s="19" t="s">
        <v>80</v>
      </c>
      <c r="C5" s="20" t="n">
        <v>0.75</v>
      </c>
      <c r="D5" s="20" t="n">
        <v>0.5</v>
      </c>
      <c r="E5" s="20" t="n">
        <v>0.7</v>
      </c>
      <c r="F5" s="20" t="n">
        <v>0.95</v>
      </c>
      <c r="G5" s="20" t="n">
        <v>0.35</v>
      </c>
      <c r="H5" s="20" t="n">
        <v>0.95</v>
      </c>
      <c r="I5" s="18" t="s">
        <v>81</v>
      </c>
      <c r="J5" s="21" t="n">
        <v>9.3</v>
      </c>
      <c r="K5" s="20" t="n">
        <v>0.75</v>
      </c>
      <c r="L5" s="20" t="n">
        <v>0.75</v>
      </c>
      <c r="M5" s="18" t="s">
        <v>76</v>
      </c>
      <c r="N5" s="18" t="s">
        <v>77</v>
      </c>
      <c r="O5" s="18" t="s">
        <v>76</v>
      </c>
      <c r="P5" s="18" t="s">
        <v>76</v>
      </c>
      <c r="Q5" s="18" t="s">
        <v>76</v>
      </c>
      <c r="R5" s="18" t="s">
        <v>78</v>
      </c>
    </row>
    <row r="6" customFormat="false" ht="23.85" hidden="false" customHeight="false" outlineLevel="0" collapsed="false">
      <c r="A6" s="12" t="s">
        <v>82</v>
      </c>
      <c r="B6" s="19" t="s">
        <v>83</v>
      </c>
      <c r="C6" s="20" t="n">
        <v>0.55</v>
      </c>
      <c r="D6" s="20" t="n">
        <v>0.5</v>
      </c>
      <c r="E6" s="20" t="n">
        <v>0.6</v>
      </c>
      <c r="F6" s="20" t="n">
        <v>0.9</v>
      </c>
      <c r="G6" s="20" t="n">
        <v>0.35</v>
      </c>
      <c r="H6" s="20" t="n">
        <v>0.9</v>
      </c>
      <c r="I6" s="18" t="s">
        <v>84</v>
      </c>
      <c r="J6" s="21" t="n">
        <v>9.2</v>
      </c>
      <c r="K6" s="20" t="n">
        <v>0.8</v>
      </c>
      <c r="L6" s="20" t="n">
        <v>0.85</v>
      </c>
      <c r="M6" s="18" t="s">
        <v>76</v>
      </c>
      <c r="N6" s="18" t="s">
        <v>77</v>
      </c>
      <c r="O6" s="18" t="s">
        <v>76</v>
      </c>
      <c r="P6" s="18" t="s">
        <v>76</v>
      </c>
      <c r="Q6" s="18" t="s">
        <v>76</v>
      </c>
      <c r="R6" s="18" t="s">
        <v>78</v>
      </c>
    </row>
    <row r="7" customFormat="false" ht="23.85" hidden="false" customHeight="false" outlineLevel="0" collapsed="false">
      <c r="A7" s="12" t="s">
        <v>85</v>
      </c>
      <c r="B7" s="19" t="s">
        <v>86</v>
      </c>
      <c r="C7" s="20" t="n">
        <v>0.6</v>
      </c>
      <c r="D7" s="20" t="n">
        <v>0.45</v>
      </c>
      <c r="E7" s="20" t="n">
        <v>0.55</v>
      </c>
      <c r="F7" s="20" t="n">
        <v>0.8</v>
      </c>
      <c r="G7" s="20" t="n">
        <v>0.4</v>
      </c>
      <c r="H7" s="20" t="n">
        <v>0.75</v>
      </c>
      <c r="I7" s="18" t="s">
        <v>87</v>
      </c>
      <c r="J7" s="21" t="n">
        <v>8.7</v>
      </c>
      <c r="K7" s="20" t="n">
        <v>0.85</v>
      </c>
      <c r="L7" s="20" t="n">
        <v>0.7</v>
      </c>
      <c r="M7" s="18" t="s">
        <v>76</v>
      </c>
      <c r="N7" s="18" t="s">
        <v>77</v>
      </c>
      <c r="O7" s="18" t="s">
        <v>76</v>
      </c>
      <c r="P7" s="18" t="s">
        <v>76</v>
      </c>
      <c r="Q7" s="18" t="s">
        <v>77</v>
      </c>
      <c r="R7" s="18" t="s">
        <v>76</v>
      </c>
    </row>
    <row r="8" customFormat="false" ht="23.85" hidden="false" customHeight="false" outlineLevel="0" collapsed="false">
      <c r="A8" s="12" t="s">
        <v>88</v>
      </c>
      <c r="B8" s="19" t="s">
        <v>89</v>
      </c>
      <c r="C8" s="20" t="n">
        <v>0.6</v>
      </c>
      <c r="D8" s="20" t="n">
        <v>0.55</v>
      </c>
      <c r="E8" s="20" t="n">
        <v>0.45</v>
      </c>
      <c r="F8" s="20" t="n">
        <v>0.75</v>
      </c>
      <c r="G8" s="20" t="n">
        <v>0.4</v>
      </c>
      <c r="H8" s="20" t="n">
        <v>0.8</v>
      </c>
      <c r="I8" s="18" t="s">
        <v>90</v>
      </c>
      <c r="J8" s="21" t="n">
        <v>7.1</v>
      </c>
      <c r="K8" s="20" t="n">
        <v>0.6</v>
      </c>
      <c r="L8" s="20" t="n">
        <v>0.65</v>
      </c>
      <c r="M8" s="18" t="s">
        <v>76</v>
      </c>
      <c r="N8" s="18" t="s">
        <v>76</v>
      </c>
      <c r="O8" s="18" t="s">
        <v>76</v>
      </c>
      <c r="P8" s="18" t="s">
        <v>76</v>
      </c>
      <c r="Q8" s="18" t="s">
        <v>76</v>
      </c>
      <c r="R8" s="18" t="s">
        <v>78</v>
      </c>
    </row>
    <row r="9" customFormat="false" ht="15" hidden="false" customHeight="false" outlineLevel="0" collapsed="false">
      <c r="A9" s="12" t="s">
        <v>91</v>
      </c>
      <c r="B9" s="19" t="s">
        <v>92</v>
      </c>
      <c r="C9" s="20" t="n">
        <v>0.8</v>
      </c>
      <c r="D9" s="20" t="n">
        <v>0.5</v>
      </c>
      <c r="E9" s="20" t="n">
        <v>0.6</v>
      </c>
      <c r="F9" s="20" t="n">
        <v>0.9</v>
      </c>
      <c r="G9" s="20" t="n">
        <v>0.4</v>
      </c>
      <c r="H9" s="20" t="n">
        <v>0.85</v>
      </c>
      <c r="I9" s="18" t="s">
        <v>93</v>
      </c>
      <c r="J9" s="21" t="n">
        <v>10</v>
      </c>
      <c r="K9" s="20" t="n">
        <v>0.85</v>
      </c>
      <c r="L9" s="20" t="n">
        <v>0.7</v>
      </c>
      <c r="M9" s="18" t="s">
        <v>76</v>
      </c>
      <c r="N9" s="18" t="s">
        <v>77</v>
      </c>
      <c r="O9" s="18" t="s">
        <v>76</v>
      </c>
      <c r="P9" s="18" t="s">
        <v>76</v>
      </c>
      <c r="Q9" s="18" t="s">
        <v>76</v>
      </c>
      <c r="R9" s="18" t="s">
        <v>78</v>
      </c>
    </row>
    <row r="10" customFormat="false" ht="23.85" hidden="false" customHeight="false" outlineLevel="0" collapsed="false">
      <c r="A10" s="12" t="s">
        <v>94</v>
      </c>
      <c r="B10" s="19" t="s">
        <v>95</v>
      </c>
      <c r="C10" s="20" t="n">
        <v>0.45</v>
      </c>
      <c r="D10" s="20" t="n">
        <v>0.5</v>
      </c>
      <c r="E10" s="20" t="n">
        <v>0.55</v>
      </c>
      <c r="F10" s="20" t="n">
        <v>0.95</v>
      </c>
      <c r="G10" s="20" t="n">
        <v>0.35</v>
      </c>
      <c r="H10" s="20" t="n">
        <v>0.9</v>
      </c>
      <c r="I10" s="18" t="s">
        <v>96</v>
      </c>
      <c r="J10" s="21" t="n">
        <v>8.7</v>
      </c>
      <c r="K10" s="20" t="n">
        <v>0.7</v>
      </c>
      <c r="L10" s="20" t="n">
        <v>0.6</v>
      </c>
      <c r="M10" s="18" t="s">
        <v>77</v>
      </c>
      <c r="N10" s="18" t="s">
        <v>77</v>
      </c>
      <c r="O10" s="18" t="s">
        <v>76</v>
      </c>
      <c r="P10" s="18" t="s">
        <v>76</v>
      </c>
      <c r="Q10" s="18" t="s">
        <v>76</v>
      </c>
      <c r="R10" s="18" t="s">
        <v>78</v>
      </c>
    </row>
    <row r="11" customFormat="false" ht="15" hidden="false" customHeight="false" outlineLevel="0" collapsed="false">
      <c r="A11" s="12" t="s">
        <v>97</v>
      </c>
      <c r="B11" s="19" t="s">
        <v>98</v>
      </c>
      <c r="C11" s="20" t="n">
        <v>0.8</v>
      </c>
      <c r="D11" s="20" t="n">
        <v>0.6</v>
      </c>
      <c r="E11" s="20" t="n">
        <v>0.6</v>
      </c>
      <c r="F11" s="20" t="n">
        <v>0.9</v>
      </c>
      <c r="G11" s="20" t="n">
        <v>0.3</v>
      </c>
      <c r="H11" s="20" t="n">
        <v>0.85</v>
      </c>
      <c r="I11" s="18" t="s">
        <v>99</v>
      </c>
      <c r="J11" s="21" t="n">
        <v>9.2</v>
      </c>
      <c r="K11" s="20" t="n">
        <v>0.7</v>
      </c>
      <c r="L11" s="20" t="n">
        <v>0.8</v>
      </c>
      <c r="M11" s="18" t="s">
        <v>76</v>
      </c>
      <c r="N11" s="18" t="s">
        <v>76</v>
      </c>
      <c r="O11" s="18" t="s">
        <v>76</v>
      </c>
      <c r="P11" s="18" t="s">
        <v>76</v>
      </c>
      <c r="Q11" s="18" t="s">
        <v>76</v>
      </c>
      <c r="R11" s="18" t="s">
        <v>78</v>
      </c>
    </row>
    <row r="12" customFormat="false" ht="15" hidden="false" customHeight="false" outlineLevel="0" collapsed="false">
      <c r="A12" s="12" t="s">
        <v>100</v>
      </c>
      <c r="B12" s="19" t="s">
        <v>101</v>
      </c>
      <c r="C12" s="20" t="n">
        <v>0.55</v>
      </c>
      <c r="D12" s="20" t="n">
        <v>0.45</v>
      </c>
      <c r="E12" s="20" t="n">
        <v>0.6</v>
      </c>
      <c r="F12" s="20" t="n">
        <v>0.9</v>
      </c>
      <c r="G12" s="20" t="n">
        <v>0.35</v>
      </c>
      <c r="H12" s="20" t="n">
        <v>0.85</v>
      </c>
      <c r="I12" s="18" t="s">
        <v>102</v>
      </c>
      <c r="J12" s="21" t="n">
        <v>9</v>
      </c>
      <c r="K12" s="20" t="n">
        <v>0.55</v>
      </c>
      <c r="L12" s="20" t="n">
        <v>0.7</v>
      </c>
      <c r="M12" s="18" t="s">
        <v>77</v>
      </c>
      <c r="N12" s="18" t="s">
        <v>77</v>
      </c>
      <c r="O12" s="18" t="s">
        <v>76</v>
      </c>
      <c r="P12" s="18" t="s">
        <v>76</v>
      </c>
      <c r="Q12" s="18" t="s">
        <v>77</v>
      </c>
      <c r="R12" s="18" t="s">
        <v>78</v>
      </c>
    </row>
    <row r="13" customFormat="false" ht="23.85" hidden="false" customHeight="false" outlineLevel="0" collapsed="false">
      <c r="A13" s="12" t="s">
        <v>103</v>
      </c>
      <c r="B13" s="19" t="s">
        <v>104</v>
      </c>
      <c r="C13" s="20" t="n">
        <v>0.3</v>
      </c>
      <c r="D13" s="20" t="n">
        <v>0.4</v>
      </c>
      <c r="E13" s="20" t="n">
        <v>0.55</v>
      </c>
      <c r="F13" s="20" t="n">
        <v>0.95</v>
      </c>
      <c r="G13" s="20" t="n">
        <v>0.4</v>
      </c>
      <c r="H13" s="20" t="n">
        <v>0.95</v>
      </c>
      <c r="I13" s="18" t="s">
        <v>105</v>
      </c>
      <c r="J13" s="21" t="n">
        <v>8.3</v>
      </c>
      <c r="K13" s="20" t="n">
        <v>0.7</v>
      </c>
      <c r="L13" s="20" t="n">
        <v>0.75</v>
      </c>
      <c r="M13" s="18" t="s">
        <v>77</v>
      </c>
      <c r="N13" s="18" t="s">
        <v>77</v>
      </c>
      <c r="O13" s="18" t="s">
        <v>76</v>
      </c>
      <c r="P13" s="18" t="s">
        <v>76</v>
      </c>
      <c r="Q13" s="18" t="s">
        <v>77</v>
      </c>
      <c r="R13" s="18" t="s">
        <v>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4"/>
    <col collapsed="false" customWidth="true" hidden="false" outlineLevel="0" max="3" min="3" style="0" width="26"/>
    <col collapsed="false" customWidth="true" hidden="false" outlineLevel="0" max="4" min="4" style="0" width="11"/>
    <col collapsed="false" customWidth="true" hidden="false" outlineLevel="0" max="5" min="5" style="0" width="16"/>
    <col collapsed="false" customWidth="true" hidden="false" outlineLevel="0" max="8" min="6" style="0" width="12"/>
    <col collapsed="false" customWidth="true" hidden="false" outlineLevel="0" max="9" min="9" style="0" width="9"/>
    <col collapsed="false" customWidth="true" hidden="false" outlineLevel="0" max="10" min="10" style="0" width="12"/>
    <col collapsed="false" customWidth="true" hidden="false" outlineLevel="0" max="20" min="11" style="0" width="5"/>
    <col collapsed="false" customWidth="true" hidden="false" outlineLevel="0" max="22" min="21" style="0" width="9"/>
    <col collapsed="false" customWidth="true" hidden="false" outlineLevel="0" max="23" min="23" style="0" width="50"/>
  </cols>
  <sheetData>
    <row r="1" customFormat="false" ht="17.35" hidden="false" customHeight="false" outlineLevel="0" collapsed="false">
      <c r="A1" s="1" t="s">
        <v>106</v>
      </c>
    </row>
    <row r="3" customFormat="false" ht="23.85" hidden="false" customHeight="false" outlineLevel="0" collapsed="false">
      <c r="A3" s="3" t="s">
        <v>22</v>
      </c>
      <c r="B3" s="3" t="s">
        <v>107</v>
      </c>
      <c r="C3" s="3" t="s">
        <v>108</v>
      </c>
      <c r="D3" s="3" t="s">
        <v>109</v>
      </c>
      <c r="E3" s="3" t="s">
        <v>110</v>
      </c>
      <c r="F3" s="3" t="s">
        <v>111</v>
      </c>
      <c r="G3" s="3" t="s">
        <v>112</v>
      </c>
      <c r="H3" s="3" t="s">
        <v>113</v>
      </c>
      <c r="I3" s="3" t="s">
        <v>114</v>
      </c>
      <c r="J3" s="3" t="s">
        <v>115</v>
      </c>
      <c r="K3" s="3" t="s">
        <v>73</v>
      </c>
      <c r="L3" s="3" t="s">
        <v>79</v>
      </c>
      <c r="M3" s="3" t="s">
        <v>82</v>
      </c>
      <c r="N3" s="3" t="s">
        <v>85</v>
      </c>
      <c r="O3" s="3" t="s">
        <v>88</v>
      </c>
      <c r="P3" s="3" t="s">
        <v>91</v>
      </c>
      <c r="Q3" s="3" t="s">
        <v>94</v>
      </c>
      <c r="R3" s="3" t="s">
        <v>97</v>
      </c>
      <c r="S3" s="3" t="s">
        <v>100</v>
      </c>
      <c r="T3" s="3" t="s">
        <v>103</v>
      </c>
      <c r="U3" s="3" t="s">
        <v>116</v>
      </c>
      <c r="V3" s="3" t="s">
        <v>117</v>
      </c>
      <c r="W3" s="3" t="s">
        <v>118</v>
      </c>
    </row>
    <row r="4" customFormat="false" ht="23.85" hidden="false" customHeight="false" outlineLevel="0" collapsed="false">
      <c r="A4" s="12" t="s">
        <v>119</v>
      </c>
      <c r="B4" s="19" t="s">
        <v>120</v>
      </c>
      <c r="C4" s="19" t="s">
        <v>121</v>
      </c>
      <c r="D4" s="12" t="s">
        <v>122</v>
      </c>
      <c r="E4" s="19" t="s">
        <v>123</v>
      </c>
      <c r="F4" s="22" t="n">
        <v>180000</v>
      </c>
      <c r="G4" s="22" t="n">
        <v>60000</v>
      </c>
      <c r="H4" s="23" t="n">
        <f aca="false">F4+G4</f>
        <v>240000</v>
      </c>
      <c r="I4" s="24" t="n">
        <f aca="false">SUM(K4:T4)</f>
        <v>4</v>
      </c>
      <c r="J4" s="23" t="n">
        <f aca="false">IF(I4=0,0,H4/I4)</f>
        <v>60000</v>
      </c>
      <c r="K4" s="25" t="n">
        <v>1</v>
      </c>
      <c r="L4" s="25" t="n">
        <v>0</v>
      </c>
      <c r="M4" s="25" t="n">
        <v>0</v>
      </c>
      <c r="N4" s="25" t="n">
        <v>0</v>
      </c>
      <c r="O4" s="25" t="n">
        <v>0</v>
      </c>
      <c r="P4" s="25" t="n">
        <v>0</v>
      </c>
      <c r="Q4" s="25" t="n">
        <v>0</v>
      </c>
      <c r="R4" s="25" t="n">
        <v>1</v>
      </c>
      <c r="S4" s="25" t="n">
        <v>1</v>
      </c>
      <c r="T4" s="25" t="n">
        <v>1</v>
      </c>
      <c r="U4" s="12" t="s">
        <v>124</v>
      </c>
      <c r="V4" s="12" t="s">
        <v>125</v>
      </c>
      <c r="W4" s="19" t="s">
        <v>126</v>
      </c>
    </row>
    <row r="5" customFormat="false" ht="23.85" hidden="false" customHeight="false" outlineLevel="0" collapsed="false">
      <c r="A5" s="12" t="s">
        <v>127</v>
      </c>
      <c r="B5" s="19" t="s">
        <v>128</v>
      </c>
      <c r="C5" s="19" t="s">
        <v>129</v>
      </c>
      <c r="D5" s="12" t="s">
        <v>130</v>
      </c>
      <c r="E5" s="19" t="s">
        <v>131</v>
      </c>
      <c r="F5" s="22" t="n">
        <v>250000</v>
      </c>
      <c r="G5" s="22" t="n">
        <v>80000</v>
      </c>
      <c r="H5" s="23" t="n">
        <f aca="false">F5+G5</f>
        <v>330000</v>
      </c>
      <c r="I5" s="24" t="n">
        <f aca="false">SUM(K5:T5)</f>
        <v>6</v>
      </c>
      <c r="J5" s="23" t="n">
        <f aca="false">IF(I5=0,0,H5/I5)</f>
        <v>55000</v>
      </c>
      <c r="K5" s="25" t="n">
        <v>1</v>
      </c>
      <c r="L5" s="25" t="n">
        <v>1</v>
      </c>
      <c r="M5" s="25" t="n">
        <v>1</v>
      </c>
      <c r="N5" s="25" t="n">
        <v>0</v>
      </c>
      <c r="O5" s="25" t="n">
        <v>1</v>
      </c>
      <c r="P5" s="25" t="n">
        <v>0</v>
      </c>
      <c r="Q5" s="25" t="n">
        <v>0</v>
      </c>
      <c r="R5" s="25" t="n">
        <v>0</v>
      </c>
      <c r="S5" s="25" t="n">
        <v>1</v>
      </c>
      <c r="T5" s="25" t="n">
        <v>1</v>
      </c>
      <c r="U5" s="12" t="s">
        <v>132</v>
      </c>
      <c r="V5" s="12" t="s">
        <v>133</v>
      </c>
      <c r="W5" s="19" t="s">
        <v>134</v>
      </c>
    </row>
    <row r="6" customFormat="false" ht="23.85" hidden="false" customHeight="false" outlineLevel="0" collapsed="false">
      <c r="A6" s="12" t="s">
        <v>135</v>
      </c>
      <c r="B6" s="19" t="s">
        <v>136</v>
      </c>
      <c r="C6" s="19" t="s">
        <v>129</v>
      </c>
      <c r="D6" s="12" t="s">
        <v>122</v>
      </c>
      <c r="E6" s="19" t="s">
        <v>137</v>
      </c>
      <c r="F6" s="22" t="n">
        <v>200000</v>
      </c>
      <c r="G6" s="22" t="n">
        <v>420000</v>
      </c>
      <c r="H6" s="23" t="n">
        <f aca="false">F6+G6</f>
        <v>620000</v>
      </c>
      <c r="I6" s="24" t="n">
        <f aca="false">SUM(K6:T6)</f>
        <v>9</v>
      </c>
      <c r="J6" s="23" t="n">
        <f aca="false">IF(I6=0,0,H6/I6)</f>
        <v>68888.8888888889</v>
      </c>
      <c r="K6" s="25" t="n">
        <v>1</v>
      </c>
      <c r="L6" s="25" t="n">
        <v>1</v>
      </c>
      <c r="M6" s="25" t="n">
        <v>1</v>
      </c>
      <c r="N6" s="25" t="n">
        <v>1</v>
      </c>
      <c r="O6" s="25" t="n">
        <v>1</v>
      </c>
      <c r="P6" s="25" t="n">
        <v>1</v>
      </c>
      <c r="Q6" s="25" t="n">
        <v>0</v>
      </c>
      <c r="R6" s="25" t="n">
        <v>1</v>
      </c>
      <c r="S6" s="25" t="n">
        <v>1</v>
      </c>
      <c r="T6" s="25" t="n">
        <v>1</v>
      </c>
      <c r="U6" s="12" t="s">
        <v>124</v>
      </c>
      <c r="V6" s="12" t="s">
        <v>125</v>
      </c>
      <c r="W6" s="19" t="s">
        <v>138</v>
      </c>
    </row>
    <row r="7" customFormat="false" ht="23.85" hidden="false" customHeight="false" outlineLevel="0" collapsed="false">
      <c r="A7" s="12" t="s">
        <v>139</v>
      </c>
      <c r="B7" s="19" t="s">
        <v>140</v>
      </c>
      <c r="C7" s="19" t="s">
        <v>141</v>
      </c>
      <c r="D7" s="12" t="s">
        <v>122</v>
      </c>
      <c r="E7" s="19" t="s">
        <v>142</v>
      </c>
      <c r="F7" s="22" t="n">
        <v>300000</v>
      </c>
      <c r="G7" s="22" t="n">
        <v>90000</v>
      </c>
      <c r="H7" s="23" t="n">
        <f aca="false">F7+G7</f>
        <v>390000</v>
      </c>
      <c r="I7" s="24" t="n">
        <f aca="false">SUM(K7:T7)</f>
        <v>3</v>
      </c>
      <c r="J7" s="23" t="n">
        <f aca="false">IF(I7=0,0,H7/I7)</f>
        <v>130000</v>
      </c>
      <c r="K7" s="25" t="n">
        <v>0</v>
      </c>
      <c r="L7" s="25" t="n">
        <v>1</v>
      </c>
      <c r="M7" s="25" t="n">
        <v>1</v>
      </c>
      <c r="N7" s="25" t="n">
        <v>0</v>
      </c>
      <c r="O7" s="25" t="n">
        <v>0</v>
      </c>
      <c r="P7" s="25" t="n">
        <v>0</v>
      </c>
      <c r="Q7" s="25" t="n">
        <v>0</v>
      </c>
      <c r="R7" s="25" t="n">
        <v>0</v>
      </c>
      <c r="S7" s="25" t="n">
        <v>0</v>
      </c>
      <c r="T7" s="25" t="n">
        <v>1</v>
      </c>
      <c r="U7" s="12" t="s">
        <v>124</v>
      </c>
      <c r="V7" s="12" t="s">
        <v>143</v>
      </c>
      <c r="W7" s="19" t="s">
        <v>144</v>
      </c>
    </row>
    <row r="8" customFormat="false" ht="23.85" hidden="false" customHeight="false" outlineLevel="0" collapsed="false">
      <c r="A8" s="12" t="s">
        <v>145</v>
      </c>
      <c r="B8" s="19" t="s">
        <v>146</v>
      </c>
      <c r="C8" s="19" t="s">
        <v>121</v>
      </c>
      <c r="D8" s="12" t="s">
        <v>130</v>
      </c>
      <c r="E8" s="19" t="s">
        <v>123</v>
      </c>
      <c r="F8" s="22" t="n">
        <v>150000</v>
      </c>
      <c r="G8" s="22" t="n">
        <v>216000</v>
      </c>
      <c r="H8" s="23" t="n">
        <f aca="false">F8+G8</f>
        <v>366000</v>
      </c>
      <c r="I8" s="24" t="n">
        <f aca="false">SUM(K8:T8)</f>
        <v>3</v>
      </c>
      <c r="J8" s="23" t="n">
        <f aca="false">IF(I8=0,0,H8/I8)</f>
        <v>122000</v>
      </c>
      <c r="K8" s="25" t="n">
        <v>0</v>
      </c>
      <c r="L8" s="25" t="n">
        <v>1</v>
      </c>
      <c r="M8" s="25" t="n">
        <v>0</v>
      </c>
      <c r="N8" s="25" t="n">
        <v>0</v>
      </c>
      <c r="O8" s="25" t="n">
        <v>0</v>
      </c>
      <c r="P8" s="25" t="n">
        <v>1</v>
      </c>
      <c r="Q8" s="25" t="n">
        <v>1</v>
      </c>
      <c r="R8" s="25" t="n">
        <v>0</v>
      </c>
      <c r="S8" s="25" t="n">
        <v>0</v>
      </c>
      <c r="T8" s="25" t="n">
        <v>0</v>
      </c>
      <c r="U8" s="12" t="s">
        <v>147</v>
      </c>
      <c r="V8" s="12" t="s">
        <v>143</v>
      </c>
      <c r="W8" s="19" t="s">
        <v>148</v>
      </c>
    </row>
    <row r="9" customFormat="false" ht="23.85" hidden="false" customHeight="false" outlineLevel="0" collapsed="false">
      <c r="A9" s="12" t="s">
        <v>149</v>
      </c>
      <c r="B9" s="19" t="s">
        <v>150</v>
      </c>
      <c r="C9" s="19" t="s">
        <v>141</v>
      </c>
      <c r="D9" s="12" t="s">
        <v>151</v>
      </c>
      <c r="E9" s="19" t="s">
        <v>152</v>
      </c>
      <c r="F9" s="22" t="n">
        <v>450000</v>
      </c>
      <c r="G9" s="22" t="n">
        <v>70000</v>
      </c>
      <c r="H9" s="23" t="n">
        <f aca="false">F9+G9</f>
        <v>520000</v>
      </c>
      <c r="I9" s="24" t="n">
        <f aca="false">SUM(K9:T9)</f>
        <v>4</v>
      </c>
      <c r="J9" s="23" t="n">
        <f aca="false">IF(I9=0,0,H9/I9)</f>
        <v>130000</v>
      </c>
      <c r="K9" s="25" t="n">
        <v>0</v>
      </c>
      <c r="L9" s="25" t="n">
        <v>1</v>
      </c>
      <c r="M9" s="25" t="n">
        <v>1</v>
      </c>
      <c r="N9" s="25" t="n">
        <v>0</v>
      </c>
      <c r="O9" s="25" t="n">
        <v>0</v>
      </c>
      <c r="P9" s="25" t="n">
        <v>1</v>
      </c>
      <c r="Q9" s="25" t="n">
        <v>1</v>
      </c>
      <c r="R9" s="25" t="n">
        <v>0</v>
      </c>
      <c r="S9" s="25" t="n">
        <v>0</v>
      </c>
      <c r="T9" s="25" t="n">
        <v>0</v>
      </c>
      <c r="U9" s="12" t="s">
        <v>125</v>
      </c>
      <c r="V9" s="12" t="s">
        <v>153</v>
      </c>
      <c r="W9" s="19" t="s">
        <v>154</v>
      </c>
    </row>
    <row r="10" customFormat="false" ht="23.85" hidden="false" customHeight="false" outlineLevel="0" collapsed="false">
      <c r="A10" s="12" t="s">
        <v>155</v>
      </c>
      <c r="B10" s="19" t="s">
        <v>156</v>
      </c>
      <c r="C10" s="19" t="s">
        <v>157</v>
      </c>
      <c r="D10" s="12" t="s">
        <v>130</v>
      </c>
      <c r="E10" s="19" t="s">
        <v>158</v>
      </c>
      <c r="F10" s="22" t="n">
        <v>180000</v>
      </c>
      <c r="G10" s="22" t="n">
        <v>90000</v>
      </c>
      <c r="H10" s="23" t="n">
        <f aca="false">F10+G10</f>
        <v>270000</v>
      </c>
      <c r="I10" s="24" t="n">
        <f aca="false">SUM(K10:T10)</f>
        <v>1</v>
      </c>
      <c r="J10" s="23" t="n">
        <f aca="false">IF(I10=0,0,H10/I10)</f>
        <v>270000</v>
      </c>
      <c r="K10" s="25" t="n">
        <v>0</v>
      </c>
      <c r="L10" s="25" t="n">
        <v>0</v>
      </c>
      <c r="M10" s="25" t="n">
        <v>0</v>
      </c>
      <c r="N10" s="25" t="n">
        <v>0</v>
      </c>
      <c r="O10" s="25" t="n">
        <v>0</v>
      </c>
      <c r="P10" s="25" t="n">
        <v>0</v>
      </c>
      <c r="Q10" s="25" t="n">
        <v>1</v>
      </c>
      <c r="R10" s="25" t="n">
        <v>0</v>
      </c>
      <c r="S10" s="25" t="n">
        <v>0</v>
      </c>
      <c r="T10" s="25" t="n">
        <v>0</v>
      </c>
      <c r="U10" s="12" t="s">
        <v>159</v>
      </c>
      <c r="V10" s="12" t="s">
        <v>133</v>
      </c>
      <c r="W10" s="19" t="s">
        <v>160</v>
      </c>
    </row>
    <row r="11" customFormat="false" ht="23.85" hidden="false" customHeight="false" outlineLevel="0" collapsed="false">
      <c r="A11" s="12" t="s">
        <v>161</v>
      </c>
      <c r="B11" s="19" t="s">
        <v>162</v>
      </c>
      <c r="C11" s="19" t="s">
        <v>163</v>
      </c>
      <c r="D11" s="12" t="s">
        <v>122</v>
      </c>
      <c r="E11" s="19" t="s">
        <v>164</v>
      </c>
      <c r="F11" s="22" t="n">
        <v>120000</v>
      </c>
      <c r="G11" s="22" t="n">
        <v>60000</v>
      </c>
      <c r="H11" s="23" t="n">
        <f aca="false">F11+G11</f>
        <v>180000</v>
      </c>
      <c r="I11" s="24" t="n">
        <f aca="false">SUM(K11:T11)</f>
        <v>1</v>
      </c>
      <c r="J11" s="23" t="n">
        <f aca="false">IF(I11=0,0,H11/I11)</f>
        <v>180000</v>
      </c>
      <c r="K11" s="25" t="n">
        <v>0</v>
      </c>
      <c r="L11" s="25" t="n">
        <v>0</v>
      </c>
      <c r="M11" s="25" t="n">
        <v>0</v>
      </c>
      <c r="N11" s="25" t="n">
        <v>1</v>
      </c>
      <c r="O11" s="25" t="n">
        <v>0</v>
      </c>
      <c r="P11" s="25" t="n">
        <v>0</v>
      </c>
      <c r="Q11" s="25" t="n">
        <v>0</v>
      </c>
      <c r="R11" s="25" t="n">
        <v>0</v>
      </c>
      <c r="S11" s="25" t="n">
        <v>0</v>
      </c>
      <c r="T11" s="25" t="n">
        <v>0</v>
      </c>
      <c r="U11" s="12" t="s">
        <v>124</v>
      </c>
      <c r="V11" s="12" t="s">
        <v>125</v>
      </c>
      <c r="W11" s="19" t="s">
        <v>165</v>
      </c>
    </row>
    <row r="12" customFormat="false" ht="23.85" hidden="false" customHeight="false" outlineLevel="0" collapsed="false">
      <c r="A12" s="12" t="s">
        <v>166</v>
      </c>
      <c r="B12" s="19" t="s">
        <v>167</v>
      </c>
      <c r="C12" s="19" t="s">
        <v>168</v>
      </c>
      <c r="D12" s="12" t="s">
        <v>130</v>
      </c>
      <c r="E12" s="19" t="s">
        <v>169</v>
      </c>
      <c r="F12" s="22" t="n">
        <v>200000</v>
      </c>
      <c r="G12" s="22" t="n">
        <v>90000</v>
      </c>
      <c r="H12" s="23" t="n">
        <f aca="false">F12+G12</f>
        <v>290000</v>
      </c>
      <c r="I12" s="24" t="n">
        <f aca="false">SUM(K12:T12)</f>
        <v>3</v>
      </c>
      <c r="J12" s="23" t="n">
        <f aca="false">IF(I12=0,0,H12/I12)</f>
        <v>96666.6666666667</v>
      </c>
      <c r="K12" s="25" t="n">
        <v>0</v>
      </c>
      <c r="L12" s="25" t="n">
        <v>0</v>
      </c>
      <c r="M12" s="25" t="n">
        <v>0</v>
      </c>
      <c r="N12" s="25" t="n">
        <v>1</v>
      </c>
      <c r="O12" s="25" t="n">
        <v>1</v>
      </c>
      <c r="P12" s="25" t="n">
        <v>0</v>
      </c>
      <c r="Q12" s="25" t="n">
        <v>0</v>
      </c>
      <c r="R12" s="25" t="n">
        <v>0</v>
      </c>
      <c r="S12" s="25" t="n">
        <v>0</v>
      </c>
      <c r="T12" s="25" t="n">
        <v>1</v>
      </c>
      <c r="U12" s="12" t="s">
        <v>159</v>
      </c>
      <c r="V12" s="12" t="s">
        <v>133</v>
      </c>
      <c r="W12" s="19" t="s">
        <v>170</v>
      </c>
    </row>
    <row r="13" customFormat="false" ht="23.85" hidden="false" customHeight="false" outlineLevel="0" collapsed="false">
      <c r="A13" s="12" t="s">
        <v>171</v>
      </c>
      <c r="B13" s="19" t="s">
        <v>172</v>
      </c>
      <c r="C13" s="19" t="s">
        <v>173</v>
      </c>
      <c r="D13" s="12" t="s">
        <v>130</v>
      </c>
      <c r="E13" s="19" t="s">
        <v>174</v>
      </c>
      <c r="F13" s="22" t="n">
        <v>90000</v>
      </c>
      <c r="G13" s="22" t="n">
        <v>70000</v>
      </c>
      <c r="H13" s="23" t="n">
        <f aca="false">F13+G13</f>
        <v>160000</v>
      </c>
      <c r="I13" s="24" t="n">
        <f aca="false">SUM(K13:T13)</f>
        <v>1</v>
      </c>
      <c r="J13" s="23" t="n">
        <f aca="false">IF(I13=0,0,H13/I13)</f>
        <v>160000</v>
      </c>
      <c r="K13" s="25" t="n">
        <v>0</v>
      </c>
      <c r="L13" s="25" t="n">
        <v>0</v>
      </c>
      <c r="M13" s="25" t="n">
        <v>0</v>
      </c>
      <c r="N13" s="25" t="n">
        <v>0</v>
      </c>
      <c r="O13" s="25" t="n">
        <v>0</v>
      </c>
      <c r="P13" s="25" t="n">
        <v>0</v>
      </c>
      <c r="Q13" s="25" t="n">
        <v>0</v>
      </c>
      <c r="R13" s="25" t="n">
        <v>0</v>
      </c>
      <c r="S13" s="25" t="n">
        <v>1</v>
      </c>
      <c r="T13" s="25" t="n">
        <v>0</v>
      </c>
      <c r="U13" s="12" t="s">
        <v>132</v>
      </c>
      <c r="V13" s="12" t="s">
        <v>133</v>
      </c>
      <c r="W13" s="19" t="s">
        <v>175</v>
      </c>
    </row>
    <row r="14" customFormat="false" ht="23.85" hidden="false" customHeight="false" outlineLevel="0" collapsed="false">
      <c r="A14" s="12" t="s">
        <v>176</v>
      </c>
      <c r="B14" s="19" t="s">
        <v>177</v>
      </c>
      <c r="C14" s="19" t="s">
        <v>178</v>
      </c>
      <c r="D14" s="12" t="s">
        <v>122</v>
      </c>
      <c r="E14" s="19" t="s">
        <v>179</v>
      </c>
      <c r="F14" s="22" t="n">
        <v>120000</v>
      </c>
      <c r="G14" s="22" t="n">
        <v>80000</v>
      </c>
      <c r="H14" s="23" t="n">
        <f aca="false">F14+G14</f>
        <v>200000</v>
      </c>
      <c r="I14" s="24" t="n">
        <f aca="false">SUM(K14:T14)</f>
        <v>5</v>
      </c>
      <c r="J14" s="23" t="n">
        <f aca="false">IF(I14=0,0,H14/I14)</f>
        <v>40000</v>
      </c>
      <c r="K14" s="25" t="n">
        <v>0</v>
      </c>
      <c r="L14" s="25" t="n">
        <v>1</v>
      </c>
      <c r="M14" s="25" t="n">
        <v>1</v>
      </c>
      <c r="N14" s="25" t="n">
        <v>0</v>
      </c>
      <c r="O14" s="25" t="n">
        <v>0</v>
      </c>
      <c r="P14" s="25" t="n">
        <v>0</v>
      </c>
      <c r="Q14" s="25" t="n">
        <v>0</v>
      </c>
      <c r="R14" s="25" t="n">
        <v>1</v>
      </c>
      <c r="S14" s="25" t="n">
        <v>1</v>
      </c>
      <c r="T14" s="25" t="n">
        <v>1</v>
      </c>
      <c r="U14" s="12" t="s">
        <v>124</v>
      </c>
      <c r="V14" s="12" t="s">
        <v>125</v>
      </c>
      <c r="W14" s="19" t="s">
        <v>180</v>
      </c>
    </row>
    <row r="15" customFormat="false" ht="23.85" hidden="false" customHeight="false" outlineLevel="0" collapsed="false">
      <c r="A15" s="12" t="s">
        <v>181</v>
      </c>
      <c r="B15" s="19" t="s">
        <v>182</v>
      </c>
      <c r="C15" s="19" t="s">
        <v>183</v>
      </c>
      <c r="D15" s="12" t="s">
        <v>122</v>
      </c>
      <c r="E15" s="19" t="s">
        <v>174</v>
      </c>
      <c r="F15" s="22" t="n">
        <v>70000</v>
      </c>
      <c r="G15" s="22" t="n">
        <v>90000</v>
      </c>
      <c r="H15" s="23" t="n">
        <f aca="false">F15+G15</f>
        <v>160000</v>
      </c>
      <c r="I15" s="24" t="n">
        <f aca="false">SUM(K15:T15)</f>
        <v>4</v>
      </c>
      <c r="J15" s="23" t="n">
        <f aca="false">IF(I15=0,0,H15/I15)</f>
        <v>40000</v>
      </c>
      <c r="K15" s="25" t="n">
        <v>1</v>
      </c>
      <c r="L15" s="25" t="n">
        <v>1</v>
      </c>
      <c r="M15" s="25" t="n">
        <v>0</v>
      </c>
      <c r="N15" s="25" t="n">
        <v>0</v>
      </c>
      <c r="O15" s="25" t="n">
        <v>1</v>
      </c>
      <c r="P15" s="25" t="n">
        <v>0</v>
      </c>
      <c r="Q15" s="25" t="n">
        <v>0</v>
      </c>
      <c r="R15" s="25" t="n">
        <v>1</v>
      </c>
      <c r="S15" s="25" t="n">
        <v>0</v>
      </c>
      <c r="T15" s="25" t="n">
        <v>0</v>
      </c>
      <c r="U15" s="12" t="s">
        <v>124</v>
      </c>
      <c r="V15" s="12" t="s">
        <v>159</v>
      </c>
      <c r="W15" s="19" t="s">
        <v>184</v>
      </c>
    </row>
    <row r="16" customFormat="false" ht="23.85" hidden="false" customHeight="false" outlineLevel="0" collapsed="false">
      <c r="A16" s="12" t="s">
        <v>185</v>
      </c>
      <c r="B16" s="19" t="s">
        <v>186</v>
      </c>
      <c r="C16" s="19" t="s">
        <v>187</v>
      </c>
      <c r="D16" s="12" t="s">
        <v>151</v>
      </c>
      <c r="E16" s="19" t="s">
        <v>188</v>
      </c>
      <c r="F16" s="22" t="n">
        <v>100000</v>
      </c>
      <c r="G16" s="22" t="n">
        <v>40000</v>
      </c>
      <c r="H16" s="23" t="n">
        <f aca="false">F16+G16</f>
        <v>140000</v>
      </c>
      <c r="I16" s="24" t="n">
        <f aca="false">SUM(K16:T16)</f>
        <v>1</v>
      </c>
      <c r="J16" s="23" t="n">
        <f aca="false">IF(I16=0,0,H16/I16)</f>
        <v>140000</v>
      </c>
      <c r="K16" s="25" t="n">
        <v>0</v>
      </c>
      <c r="L16" s="25" t="n">
        <v>0</v>
      </c>
      <c r="M16" s="25" t="n">
        <v>0</v>
      </c>
      <c r="N16" s="25" t="n">
        <v>0</v>
      </c>
      <c r="O16" s="25" t="n">
        <v>0</v>
      </c>
      <c r="P16" s="25" t="n">
        <v>0</v>
      </c>
      <c r="Q16" s="25" t="n">
        <v>0</v>
      </c>
      <c r="R16" s="25" t="n">
        <v>0</v>
      </c>
      <c r="S16" s="25" t="n">
        <v>0</v>
      </c>
      <c r="T16" s="25" t="n">
        <v>1</v>
      </c>
      <c r="U16" s="12" t="s">
        <v>125</v>
      </c>
      <c r="V16" s="12" t="s">
        <v>189</v>
      </c>
      <c r="W16" s="19" t="s">
        <v>190</v>
      </c>
    </row>
    <row r="17" customFormat="false" ht="15" hidden="false" customHeight="false" outlineLevel="0" collapsed="false">
      <c r="B17" s="13" t="s">
        <v>191</v>
      </c>
      <c r="F17" s="15" t="n">
        <f aca="false">SUM(F4:F16)</f>
        <v>2410000</v>
      </c>
      <c r="G17" s="15" t="n">
        <f aca="false">SUM(G4:G16)</f>
        <v>1456000</v>
      </c>
      <c r="H17" s="15" t="n">
        <f aca="false">SUM(H4:H16)</f>
        <v>3866000</v>
      </c>
      <c r="K17" s="15" t="n">
        <f aca="false">SUMPRODUCT(K4:K16,$J$4:$J$16)</f>
        <v>223888.888888889</v>
      </c>
      <c r="L17" s="15" t="n">
        <f aca="false">SUMPRODUCT(L4:L16,$J$4:$J$16)</f>
        <v>585888.888888889</v>
      </c>
      <c r="M17" s="15" t="n">
        <f aca="false">SUMPRODUCT(M4:M16,$J$4:$J$16)</f>
        <v>423888.888888889</v>
      </c>
      <c r="N17" s="15" t="n">
        <f aca="false">SUMPRODUCT(N4:N16,$J$4:$J$16)</f>
        <v>345555.555555556</v>
      </c>
      <c r="O17" s="15" t="n">
        <f aca="false">SUMPRODUCT(O4:O16,$J$4:$J$16)</f>
        <v>260555.555555556</v>
      </c>
      <c r="P17" s="15" t="n">
        <f aca="false">SUMPRODUCT(P4:P16,$J$4:$J$16)</f>
        <v>320888.888888889</v>
      </c>
      <c r="Q17" s="15" t="n">
        <f aca="false">SUMPRODUCT(Q4:Q16,$J$4:$J$16)</f>
        <v>522000</v>
      </c>
      <c r="R17" s="15" t="n">
        <f aca="false">SUMPRODUCT(R4:R16,$J$4:$J$16)</f>
        <v>208888.888888889</v>
      </c>
      <c r="S17" s="15" t="n">
        <f aca="false">SUMPRODUCT(S4:S16,$J$4:$J$16)</f>
        <v>383888.888888889</v>
      </c>
      <c r="T17" s="15" t="n">
        <f aca="false">SUMPRODUCT(T4:T16,$J$4:$J$16)</f>
        <v>590555.555555556</v>
      </c>
    </row>
    <row r="18" customFormat="false" ht="15" hidden="false" customHeight="false" outlineLevel="0" collapsed="false">
      <c r="B18" s="12" t="s">
        <v>192</v>
      </c>
      <c r="H18" s="26" t="n">
        <f aca="false">SUM(K17:T17)-H17</f>
        <v>0</v>
      </c>
    </row>
    <row r="20" customFormat="false" ht="15" hidden="false" customHeight="false" outlineLevel="0" collapsed="false">
      <c r="B20" s="2" t="s">
        <v>193</v>
      </c>
    </row>
    <row r="21" customFormat="false" ht="15" hidden="false" customHeight="false" outlineLevel="0" collapsed="false">
      <c r="B21" s="2" t="s">
        <v>194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0"/>
    <col collapsed="false" customWidth="true" hidden="false" outlineLevel="0" max="4" min="3" style="0" width="7"/>
    <col collapsed="false" customWidth="true" hidden="false" outlineLevel="0" max="5" min="5" style="0" width="8"/>
    <col collapsed="false" customWidth="true" hidden="false" outlineLevel="0" max="12" min="6" style="0" width="7"/>
    <col collapsed="false" customWidth="true" hidden="false" outlineLevel="0" max="15" min="13" style="0" width="11"/>
    <col collapsed="false" customWidth="true" hidden="false" outlineLevel="0" max="16" min="16" style="0" width="8"/>
    <col collapsed="false" customWidth="true" hidden="false" outlineLevel="0" max="17" min="17" style="0" width="26"/>
  </cols>
  <sheetData>
    <row r="1" customFormat="false" ht="17.35" hidden="false" customHeight="false" outlineLevel="0" collapsed="false">
      <c r="A1" s="1" t="s">
        <v>195</v>
      </c>
    </row>
    <row r="2" customFormat="false" ht="15" hidden="false" customHeight="false" outlineLevel="0" collapsed="false">
      <c r="A2" s="2" t="s">
        <v>196</v>
      </c>
    </row>
    <row r="4" customFormat="false" ht="23.85" hidden="false" customHeight="false" outlineLevel="0" collapsed="false">
      <c r="A4" s="3" t="s">
        <v>22</v>
      </c>
      <c r="B4" s="3" t="s">
        <v>197</v>
      </c>
      <c r="C4" s="3" t="s">
        <v>198</v>
      </c>
      <c r="D4" s="3" t="s">
        <v>24</v>
      </c>
      <c r="E4" s="3" t="s">
        <v>25</v>
      </c>
      <c r="F4" s="3" t="s">
        <v>27</v>
      </c>
      <c r="G4" s="3" t="s">
        <v>28</v>
      </c>
      <c r="H4" s="3" t="s">
        <v>30</v>
      </c>
      <c r="I4" s="3" t="s">
        <v>199</v>
      </c>
      <c r="J4" s="3" t="s">
        <v>200</v>
      </c>
      <c r="K4" s="3" t="s">
        <v>201</v>
      </c>
      <c r="L4" s="3" t="s">
        <v>202</v>
      </c>
      <c r="M4" s="3" t="s">
        <v>203</v>
      </c>
      <c r="N4" s="3" t="s">
        <v>204</v>
      </c>
      <c r="O4" s="3" t="s">
        <v>40</v>
      </c>
      <c r="P4" s="3" t="s">
        <v>205</v>
      </c>
      <c r="Q4" s="3" t="s">
        <v>42</v>
      </c>
    </row>
    <row r="5" customFormat="false" ht="15" hidden="false" customHeight="false" outlineLevel="0" collapsed="false">
      <c r="A5" s="12" t="s">
        <v>79</v>
      </c>
      <c r="B5" s="12" t="s">
        <v>206</v>
      </c>
      <c r="C5" s="10" t="n">
        <f aca="false">-1*Parameters!$B$9</f>
        <v>-0.1</v>
      </c>
      <c r="D5" s="10" t="n">
        <f aca="false">MAX(0.05,MIN(0.99,Inputs!C5+C5))</f>
        <v>0.65</v>
      </c>
      <c r="E5" s="10" t="n">
        <f aca="false">MAX(0.05,MIN(0.99,Inputs!D5+C5))</f>
        <v>0.4</v>
      </c>
      <c r="F5" s="10" t="n">
        <f aca="false">MAX(0.05,MIN(0.99,Inputs!E5+C5))</f>
        <v>0.6</v>
      </c>
      <c r="G5" s="10" t="n">
        <f aca="false">MAX(0.05,MIN(0.99,Inputs!F5+C5))</f>
        <v>0.85</v>
      </c>
      <c r="H5" s="10" t="n">
        <f aca="false">MAX(0.05,MIN(0.99,Inputs!G5-C5))</f>
        <v>0.45</v>
      </c>
      <c r="I5" s="6" t="n">
        <f aca="false">Inputs!H5</f>
        <v>0.95</v>
      </c>
      <c r="J5" s="7" t="n">
        <f aca="false">Inputs!J5</f>
        <v>9.3</v>
      </c>
      <c r="K5" s="10" t="n">
        <f aca="false">MAX(0.05,MIN(0.99,Inputs!K5-C5))</f>
        <v>0.85</v>
      </c>
      <c r="L5" s="10" t="n">
        <f aca="false">MAX(0.05,MIN(0.99,Inputs!L5-C5))</f>
        <v>0.85</v>
      </c>
      <c r="M5" s="9" t="n">
        <f aca="false">D5*E5*J5*((F5+G5)/2)*I5/H5*Parameters!$B$5</f>
        <v>3700.88333333333</v>
      </c>
      <c r="N5" s="9" t="n">
        <f aca="false">D5*E5*J5*Parameters!$B$4*I5/H5*Parameters!$B$5</f>
        <v>1531.4</v>
      </c>
      <c r="O5" s="9" t="n">
        <f aca="false">M5-M5*K5*L5</f>
        <v>1026.995125</v>
      </c>
      <c r="P5" s="10" t="n">
        <f aca="false">O5/N5</f>
        <v>0.670625</v>
      </c>
      <c r="Q5" s="12" t="str">
        <f aca="false">IF(P5&lt;Parameters!$B$6,"Below tolerance",IF(P5&lt;=Parameters!$B$7,"Approximately at tolerance","Above tolerance"))</f>
        <v>Below tolerance</v>
      </c>
    </row>
    <row r="6" customFormat="false" ht="15" hidden="false" customHeight="false" outlineLevel="0" collapsed="false">
      <c r="A6" s="12" t="s">
        <v>79</v>
      </c>
      <c r="B6" s="12" t="s">
        <v>207</v>
      </c>
      <c r="C6" s="10" t="n">
        <f aca="false">0*Parameters!$B$9</f>
        <v>0</v>
      </c>
      <c r="D6" s="10" t="n">
        <f aca="false">MAX(0.05,MIN(0.99,Inputs!C5+C6))</f>
        <v>0.75</v>
      </c>
      <c r="E6" s="10" t="n">
        <f aca="false">MAX(0.05,MIN(0.99,Inputs!D5+C6))</f>
        <v>0.5</v>
      </c>
      <c r="F6" s="10" t="n">
        <f aca="false">MAX(0.05,MIN(0.99,Inputs!E5+C6))</f>
        <v>0.7</v>
      </c>
      <c r="G6" s="10" t="n">
        <f aca="false">MAX(0.05,MIN(0.99,Inputs!F5+C6))</f>
        <v>0.95</v>
      </c>
      <c r="H6" s="10" t="n">
        <f aca="false">MAX(0.05,MIN(0.99,Inputs!G5-C6))</f>
        <v>0.35</v>
      </c>
      <c r="I6" s="6" t="n">
        <f aca="false">Inputs!H5</f>
        <v>0.95</v>
      </c>
      <c r="J6" s="7" t="n">
        <f aca="false">Inputs!J5</f>
        <v>9.3</v>
      </c>
      <c r="K6" s="10" t="n">
        <f aca="false">MAX(0.05,MIN(0.99,Inputs!K5-C6))</f>
        <v>0.75</v>
      </c>
      <c r="L6" s="10" t="n">
        <f aca="false">MAX(0.05,MIN(0.99,Inputs!L5-C6))</f>
        <v>0.75</v>
      </c>
      <c r="M6" s="9" t="n">
        <f aca="false">D6*E6*J6*((F6+G6)/2)*I6/H6*Parameters!$B$5</f>
        <v>7809.50892857143</v>
      </c>
      <c r="N6" s="9" t="n">
        <f aca="false">D6*E6*J6*Parameters!$B$4*I6/H6*Parameters!$B$5</f>
        <v>2839.82142857143</v>
      </c>
      <c r="O6" s="9" t="n">
        <f aca="false">M6-M6*K6*L6</f>
        <v>3416.66015625</v>
      </c>
      <c r="P6" s="10" t="n">
        <f aca="false">O6/N6</f>
        <v>1.203125</v>
      </c>
      <c r="Q6" s="12" t="str">
        <f aca="false">IF(P6&lt;Parameters!$B$6,"Below tolerance",IF(P6&lt;=Parameters!$B$7,"Approximately at tolerance","Above tolerance"))</f>
        <v>Above tolerance</v>
      </c>
    </row>
    <row r="7" customFormat="false" ht="15" hidden="false" customHeight="false" outlineLevel="0" collapsed="false">
      <c r="A7" s="12" t="s">
        <v>79</v>
      </c>
      <c r="B7" s="12" t="s">
        <v>208</v>
      </c>
      <c r="C7" s="10" t="n">
        <f aca="false">1*Parameters!$B$9</f>
        <v>0.1</v>
      </c>
      <c r="D7" s="10" t="n">
        <f aca="false">MAX(0.05,MIN(0.99,Inputs!C5+C7))</f>
        <v>0.85</v>
      </c>
      <c r="E7" s="10" t="n">
        <f aca="false">MAX(0.05,MIN(0.99,Inputs!D5+C7))</f>
        <v>0.6</v>
      </c>
      <c r="F7" s="10" t="n">
        <f aca="false">MAX(0.05,MIN(0.99,Inputs!E5+C7))</f>
        <v>0.8</v>
      </c>
      <c r="G7" s="10" t="n">
        <f aca="false">MAX(0.05,MIN(0.99,Inputs!F5+C7))</f>
        <v>0.99</v>
      </c>
      <c r="H7" s="10" t="n">
        <f aca="false">MAX(0.05,MIN(0.99,Inputs!G5-C7))</f>
        <v>0.25</v>
      </c>
      <c r="I7" s="6" t="n">
        <f aca="false">Inputs!H5</f>
        <v>0.95</v>
      </c>
      <c r="J7" s="7" t="n">
        <f aca="false">Inputs!J5</f>
        <v>9.3</v>
      </c>
      <c r="K7" s="10" t="n">
        <f aca="false">MAX(0.05,MIN(0.99,Inputs!K5-C7))</f>
        <v>0.65</v>
      </c>
      <c r="L7" s="10" t="n">
        <f aca="false">MAX(0.05,MIN(0.99,Inputs!L5-C7))</f>
        <v>0.65</v>
      </c>
      <c r="M7" s="9" t="n">
        <f aca="false">D7*E7*J7*((F7+G7)/2)*I7/H7*Parameters!$B$5</f>
        <v>16130.943</v>
      </c>
      <c r="N7" s="9" t="n">
        <f aca="false">D7*E7*J7*Parameters!$B$4*I7/H7*Parameters!$B$5</f>
        <v>5407.02</v>
      </c>
      <c r="O7" s="9" t="n">
        <f aca="false">M7-M7*K7*L7</f>
        <v>9315.6195825</v>
      </c>
      <c r="P7" s="10" t="n">
        <f aca="false">O7/N7</f>
        <v>1.722875</v>
      </c>
      <c r="Q7" s="12" t="str">
        <f aca="false">IF(P7&lt;Parameters!$B$6,"Below tolerance",IF(P7&lt;=Parameters!$B$7,"Approximately at tolerance","Above tolerance"))</f>
        <v>Above tolerance</v>
      </c>
    </row>
    <row r="8" customFormat="false" ht="15" hidden="false" customHeight="false" outlineLevel="0" collapsed="false">
      <c r="A8" s="12" t="s">
        <v>94</v>
      </c>
      <c r="B8" s="12" t="s">
        <v>206</v>
      </c>
      <c r="C8" s="10" t="n">
        <f aca="false">-1*Parameters!$B$9</f>
        <v>-0.1</v>
      </c>
      <c r="D8" s="10" t="n">
        <f aca="false">MAX(0.05,MIN(0.99,Inputs!C10+C8))</f>
        <v>0.35</v>
      </c>
      <c r="E8" s="10" t="n">
        <f aca="false">MAX(0.05,MIN(0.99,Inputs!D10+C8))</f>
        <v>0.4</v>
      </c>
      <c r="F8" s="10" t="n">
        <f aca="false">MAX(0.05,MIN(0.99,Inputs!E10+C8))</f>
        <v>0.45</v>
      </c>
      <c r="G8" s="10" t="n">
        <f aca="false">MAX(0.05,MIN(0.99,Inputs!F10+C8))</f>
        <v>0.85</v>
      </c>
      <c r="H8" s="10" t="n">
        <f aca="false">MAX(0.05,MIN(0.99,Inputs!G10-C8))</f>
        <v>0.45</v>
      </c>
      <c r="I8" s="6" t="n">
        <f aca="false">Inputs!H10</f>
        <v>0.9</v>
      </c>
      <c r="J8" s="7" t="n">
        <f aca="false">Inputs!J10</f>
        <v>8.7</v>
      </c>
      <c r="K8" s="10" t="n">
        <f aca="false">MAX(0.05,MIN(0.99,Inputs!K10-C8))</f>
        <v>0.8</v>
      </c>
      <c r="L8" s="10" t="n">
        <f aca="false">MAX(0.05,MIN(0.99,Inputs!L10-C8))</f>
        <v>0.7</v>
      </c>
      <c r="M8" s="9" t="n">
        <f aca="false">D8*E8*J8*((F8+G8)/2)*I8/H8*Parameters!$B$5</f>
        <v>1583.4</v>
      </c>
      <c r="N8" s="9" t="n">
        <f aca="false">D8*E8*J8*Parameters!$B$4*I8/H8*Parameters!$B$5</f>
        <v>730.8</v>
      </c>
      <c r="O8" s="9" t="n">
        <f aca="false">M8-M8*K8*L8</f>
        <v>696.696</v>
      </c>
      <c r="P8" s="10" t="n">
        <f aca="false">O8/N8</f>
        <v>0.953333333333334</v>
      </c>
      <c r="Q8" s="12" t="str">
        <f aca="false">IF(P8&lt;Parameters!$B$6,"Below tolerance",IF(P8&lt;=Parameters!$B$7,"Approximately at tolerance","Above tolerance"))</f>
        <v>Approximately at tolerance</v>
      </c>
    </row>
    <row r="9" customFormat="false" ht="15" hidden="false" customHeight="false" outlineLevel="0" collapsed="false">
      <c r="A9" s="12" t="s">
        <v>94</v>
      </c>
      <c r="B9" s="12" t="s">
        <v>207</v>
      </c>
      <c r="C9" s="10" t="n">
        <f aca="false">0*Parameters!$B$9</f>
        <v>0</v>
      </c>
      <c r="D9" s="10" t="n">
        <f aca="false">MAX(0.05,MIN(0.99,Inputs!C10+C9))</f>
        <v>0.45</v>
      </c>
      <c r="E9" s="10" t="n">
        <f aca="false">MAX(0.05,MIN(0.99,Inputs!D10+C9))</f>
        <v>0.5</v>
      </c>
      <c r="F9" s="10" t="n">
        <f aca="false">MAX(0.05,MIN(0.99,Inputs!E10+C9))</f>
        <v>0.55</v>
      </c>
      <c r="G9" s="10" t="n">
        <f aca="false">MAX(0.05,MIN(0.99,Inputs!F10+C9))</f>
        <v>0.95</v>
      </c>
      <c r="H9" s="10" t="n">
        <f aca="false">MAX(0.05,MIN(0.99,Inputs!G10-C9))</f>
        <v>0.35</v>
      </c>
      <c r="I9" s="6" t="n">
        <f aca="false">Inputs!H10</f>
        <v>0.9</v>
      </c>
      <c r="J9" s="7" t="n">
        <f aca="false">Inputs!J10</f>
        <v>8.7</v>
      </c>
      <c r="K9" s="10" t="n">
        <f aca="false">MAX(0.05,MIN(0.99,Inputs!K10-C9))</f>
        <v>0.7</v>
      </c>
      <c r="L9" s="10" t="n">
        <f aca="false">MAX(0.05,MIN(0.99,Inputs!L10-C9))</f>
        <v>0.6</v>
      </c>
      <c r="M9" s="9" t="n">
        <f aca="false">D9*E9*J9*((F9+G9)/2)*I9/H9*Parameters!$B$5</f>
        <v>3775.17857142857</v>
      </c>
      <c r="N9" s="9" t="n">
        <f aca="false">D9*E9*J9*Parameters!$B$4*I9/H9*Parameters!$B$5</f>
        <v>1510.07142857143</v>
      </c>
      <c r="O9" s="9" t="n">
        <f aca="false">M9-M9*K9*L9</f>
        <v>2189.60357142857</v>
      </c>
      <c r="P9" s="10" t="n">
        <f aca="false">O9/N9</f>
        <v>1.45</v>
      </c>
      <c r="Q9" s="12" t="str">
        <f aca="false">IF(P9&lt;Parameters!$B$6,"Below tolerance",IF(P9&lt;=Parameters!$B$7,"Approximately at tolerance","Above tolerance"))</f>
        <v>Above tolerance</v>
      </c>
    </row>
    <row r="10" customFormat="false" ht="15" hidden="false" customHeight="false" outlineLevel="0" collapsed="false">
      <c r="A10" s="12" t="s">
        <v>94</v>
      </c>
      <c r="B10" s="12" t="s">
        <v>208</v>
      </c>
      <c r="C10" s="10" t="n">
        <f aca="false">1*Parameters!$B$9</f>
        <v>0.1</v>
      </c>
      <c r="D10" s="10" t="n">
        <f aca="false">MAX(0.05,MIN(0.99,Inputs!C10+C10))</f>
        <v>0.55</v>
      </c>
      <c r="E10" s="10" t="n">
        <f aca="false">MAX(0.05,MIN(0.99,Inputs!D10+C10))</f>
        <v>0.6</v>
      </c>
      <c r="F10" s="10" t="n">
        <f aca="false">MAX(0.05,MIN(0.99,Inputs!E10+C10))</f>
        <v>0.65</v>
      </c>
      <c r="G10" s="10" t="n">
        <f aca="false">MAX(0.05,MIN(0.99,Inputs!F10+C10))</f>
        <v>0.99</v>
      </c>
      <c r="H10" s="10" t="n">
        <f aca="false">MAX(0.05,MIN(0.99,Inputs!G10-C10))</f>
        <v>0.25</v>
      </c>
      <c r="I10" s="6" t="n">
        <f aca="false">Inputs!H10</f>
        <v>0.9</v>
      </c>
      <c r="J10" s="7" t="n">
        <f aca="false">Inputs!J10</f>
        <v>8.7</v>
      </c>
      <c r="K10" s="10" t="n">
        <f aca="false">MAX(0.05,MIN(0.99,Inputs!K10-C10))</f>
        <v>0.6</v>
      </c>
      <c r="L10" s="10" t="n">
        <f aca="false">MAX(0.05,MIN(0.99,Inputs!L10-C10))</f>
        <v>0.5</v>
      </c>
      <c r="M10" s="9" t="n">
        <f aca="false">D10*E10*J10*((F10+G10)/2)*I10/H10*Parameters!$B$5</f>
        <v>8475.192</v>
      </c>
      <c r="N10" s="9" t="n">
        <f aca="false">D10*E10*J10*Parameters!$B$4*I10/H10*Parameters!$B$5</f>
        <v>3100.68</v>
      </c>
      <c r="O10" s="9" t="n">
        <f aca="false">M10-M10*K10*L10</f>
        <v>5932.6344</v>
      </c>
      <c r="P10" s="10" t="n">
        <f aca="false">O10/N10</f>
        <v>1.91333333333333</v>
      </c>
      <c r="Q10" s="12" t="str">
        <f aca="false">IF(P10&lt;Parameters!$B$6,"Below tolerance",IF(P10&lt;=Parameters!$B$7,"Approximately at tolerance","Above tolerance"))</f>
        <v>Above tolerance</v>
      </c>
    </row>
    <row r="11" customFormat="false" ht="15" hidden="false" customHeight="false" outlineLevel="0" collapsed="false">
      <c r="A11" s="12" t="s">
        <v>100</v>
      </c>
      <c r="B11" s="12" t="s">
        <v>206</v>
      </c>
      <c r="C11" s="10" t="n">
        <f aca="false">-1*Parameters!$B$9</f>
        <v>-0.1</v>
      </c>
      <c r="D11" s="10" t="n">
        <f aca="false">MAX(0.05,MIN(0.99,Inputs!C12+C11))</f>
        <v>0.45</v>
      </c>
      <c r="E11" s="10" t="n">
        <f aca="false">MAX(0.05,MIN(0.99,Inputs!D12+C11))</f>
        <v>0.35</v>
      </c>
      <c r="F11" s="10" t="n">
        <f aca="false">MAX(0.05,MIN(0.99,Inputs!E12+C11))</f>
        <v>0.5</v>
      </c>
      <c r="G11" s="10" t="n">
        <f aca="false">MAX(0.05,MIN(0.99,Inputs!F12+C11))</f>
        <v>0.8</v>
      </c>
      <c r="H11" s="10" t="n">
        <f aca="false">MAX(0.05,MIN(0.99,Inputs!G12-C11))</f>
        <v>0.45</v>
      </c>
      <c r="I11" s="6" t="n">
        <f aca="false">Inputs!H12</f>
        <v>0.85</v>
      </c>
      <c r="J11" s="7" t="n">
        <f aca="false">Inputs!J12</f>
        <v>9</v>
      </c>
      <c r="K11" s="10" t="n">
        <f aca="false">MAX(0.05,MIN(0.99,Inputs!K12-C11))</f>
        <v>0.65</v>
      </c>
      <c r="L11" s="10" t="n">
        <f aca="false">MAX(0.05,MIN(0.99,Inputs!L12-C11))</f>
        <v>0.8</v>
      </c>
      <c r="M11" s="9" t="n">
        <f aca="false">D11*E11*J11*((F11+G11)/2)*I11/H11*Parameters!$B$5</f>
        <v>1740.375</v>
      </c>
      <c r="N11" s="9" t="n">
        <f aca="false">D11*E11*J11*Parameters!$B$4*I11/H11*Parameters!$B$5</f>
        <v>803.25</v>
      </c>
      <c r="O11" s="9" t="n">
        <f aca="false">M11-M11*K11*L11</f>
        <v>835.38</v>
      </c>
      <c r="P11" s="10" t="n">
        <f aca="false">O11/N11</f>
        <v>1.04</v>
      </c>
      <c r="Q11" s="12" t="str">
        <f aca="false">IF(P11&lt;Parameters!$B$6,"Below tolerance",IF(P11&lt;=Parameters!$B$7,"Approximately at tolerance","Above tolerance"))</f>
        <v>Approximately at tolerance</v>
      </c>
    </row>
    <row r="12" customFormat="false" ht="15" hidden="false" customHeight="false" outlineLevel="0" collapsed="false">
      <c r="A12" s="12" t="s">
        <v>100</v>
      </c>
      <c r="B12" s="12" t="s">
        <v>207</v>
      </c>
      <c r="C12" s="10" t="n">
        <f aca="false">0*Parameters!$B$9</f>
        <v>0</v>
      </c>
      <c r="D12" s="10" t="n">
        <f aca="false">MAX(0.05,MIN(0.99,Inputs!C12+C12))</f>
        <v>0.55</v>
      </c>
      <c r="E12" s="10" t="n">
        <f aca="false">MAX(0.05,MIN(0.99,Inputs!D12+C12))</f>
        <v>0.45</v>
      </c>
      <c r="F12" s="10" t="n">
        <f aca="false">MAX(0.05,MIN(0.99,Inputs!E12+C12))</f>
        <v>0.6</v>
      </c>
      <c r="G12" s="10" t="n">
        <f aca="false">MAX(0.05,MIN(0.99,Inputs!F12+C12))</f>
        <v>0.9</v>
      </c>
      <c r="H12" s="10" t="n">
        <f aca="false">MAX(0.05,MIN(0.99,Inputs!G12-C12))</f>
        <v>0.35</v>
      </c>
      <c r="I12" s="6" t="n">
        <f aca="false">Inputs!H12</f>
        <v>0.85</v>
      </c>
      <c r="J12" s="7" t="n">
        <f aca="false">Inputs!J12</f>
        <v>9</v>
      </c>
      <c r="K12" s="10" t="n">
        <f aca="false">MAX(0.05,MIN(0.99,Inputs!K12-C12))</f>
        <v>0.55</v>
      </c>
      <c r="L12" s="10" t="n">
        <f aca="false">MAX(0.05,MIN(0.99,Inputs!L12-C12))</f>
        <v>0.7</v>
      </c>
      <c r="M12" s="9" t="n">
        <f aca="false">D12*E12*J12*((F12+G12)/2)*I12/H12*Parameters!$B$5</f>
        <v>4057.23214285714</v>
      </c>
      <c r="N12" s="9" t="n">
        <f aca="false">D12*E12*J12*Parameters!$B$4*I12/H12*Parameters!$B$5</f>
        <v>1622.89285714286</v>
      </c>
      <c r="O12" s="9" t="n">
        <f aca="false">M12-M12*K12*L12</f>
        <v>2495.19776785714</v>
      </c>
      <c r="P12" s="10" t="n">
        <f aca="false">O12/N12</f>
        <v>1.5375</v>
      </c>
      <c r="Q12" s="12" t="str">
        <f aca="false">IF(P12&lt;Parameters!$B$6,"Below tolerance",IF(P12&lt;=Parameters!$B$7,"Approximately at tolerance","Above tolerance"))</f>
        <v>Above tolerance</v>
      </c>
    </row>
    <row r="13" customFormat="false" ht="15" hidden="false" customHeight="false" outlineLevel="0" collapsed="false">
      <c r="A13" s="12" t="s">
        <v>100</v>
      </c>
      <c r="B13" s="12" t="s">
        <v>208</v>
      </c>
      <c r="C13" s="10" t="n">
        <f aca="false">1*Parameters!$B$9</f>
        <v>0.1</v>
      </c>
      <c r="D13" s="10" t="n">
        <f aca="false">MAX(0.05,MIN(0.99,Inputs!C12+C13))</f>
        <v>0.65</v>
      </c>
      <c r="E13" s="10" t="n">
        <f aca="false">MAX(0.05,MIN(0.99,Inputs!D12+C13))</f>
        <v>0.55</v>
      </c>
      <c r="F13" s="10" t="n">
        <f aca="false">MAX(0.05,MIN(0.99,Inputs!E12+C13))</f>
        <v>0.7</v>
      </c>
      <c r="G13" s="10" t="n">
        <f aca="false">MAX(0.05,MIN(0.99,Inputs!F12+C13))</f>
        <v>0.99</v>
      </c>
      <c r="H13" s="10" t="n">
        <f aca="false">MAX(0.05,MIN(0.99,Inputs!G12-C13))</f>
        <v>0.25</v>
      </c>
      <c r="I13" s="6" t="n">
        <f aca="false">Inputs!H12</f>
        <v>0.85</v>
      </c>
      <c r="J13" s="7" t="n">
        <f aca="false">Inputs!J12</f>
        <v>9</v>
      </c>
      <c r="K13" s="10" t="n">
        <f aca="false">MAX(0.05,MIN(0.99,Inputs!K12-C13))</f>
        <v>0.45</v>
      </c>
      <c r="L13" s="10" t="n">
        <f aca="false">MAX(0.05,MIN(0.99,Inputs!L12-C13))</f>
        <v>0.6</v>
      </c>
      <c r="M13" s="9" t="n">
        <f aca="false">D13*E13*J13*((F13+G13)/2)*I13/H13*Parameters!$B$5</f>
        <v>9243.8775</v>
      </c>
      <c r="N13" s="9" t="n">
        <f aca="false">D13*E13*J13*Parameters!$B$4*I13/H13*Parameters!$B$5</f>
        <v>3281.85</v>
      </c>
      <c r="O13" s="9" t="n">
        <f aca="false">M13-M13*K13*L13</f>
        <v>6748.030575</v>
      </c>
      <c r="P13" s="10" t="n">
        <f aca="false">O13/N13</f>
        <v>2.05616666666667</v>
      </c>
      <c r="Q13" s="12" t="str">
        <f aca="false">IF(P13&lt;Parameters!$B$6,"Below tolerance",IF(P13&lt;=Parameters!$B$7,"Approximately at tolerance","Above tolerance"))</f>
        <v>Above tolerance</v>
      </c>
    </row>
    <row r="14" customFormat="false" ht="15" hidden="false" customHeight="false" outlineLevel="0" collapsed="false">
      <c r="A14" s="12" t="s">
        <v>73</v>
      </c>
      <c r="B14" s="12" t="s">
        <v>206</v>
      </c>
      <c r="C14" s="10" t="n">
        <f aca="false">-1*Parameters!$B$9</f>
        <v>-0.1</v>
      </c>
      <c r="D14" s="10" t="n">
        <f aca="false">MAX(0.05,MIN(0.99,Inputs!C4+C14))</f>
        <v>0.75</v>
      </c>
      <c r="E14" s="10" t="n">
        <f aca="false">MAX(0.05,MIN(0.99,Inputs!D4+C14))</f>
        <v>0.45</v>
      </c>
      <c r="F14" s="10" t="n">
        <f aca="false">MAX(0.05,MIN(0.99,Inputs!E4+C14))</f>
        <v>0.45</v>
      </c>
      <c r="G14" s="10" t="n">
        <f aca="false">MAX(0.05,MIN(0.99,Inputs!F4+C14))</f>
        <v>0.75</v>
      </c>
      <c r="H14" s="10" t="n">
        <f aca="false">MAX(0.05,MIN(0.99,Inputs!G4-C14))</f>
        <v>0.5</v>
      </c>
      <c r="I14" s="6" t="n">
        <f aca="false">Inputs!H4</f>
        <v>0.85</v>
      </c>
      <c r="J14" s="7" t="n">
        <f aca="false">Inputs!J4</f>
        <v>9.3</v>
      </c>
      <c r="K14" s="10" t="n">
        <f aca="false">MAX(0.05,MIN(0.99,Inputs!K4-C14))</f>
        <v>0.9</v>
      </c>
      <c r="L14" s="10" t="n">
        <f aca="false">MAX(0.05,MIN(0.99,Inputs!L4-C14))</f>
        <v>0.85</v>
      </c>
      <c r="M14" s="9" t="n">
        <f aca="false">D14*E14*J14*((F14+G14)/2)*I14/H14*Parameters!$B$5</f>
        <v>3201.525</v>
      </c>
      <c r="N14" s="9" t="n">
        <f aca="false">D14*E14*J14*Parameters!$B$4*I14/H14*Parameters!$B$5</f>
        <v>1600.7625</v>
      </c>
      <c r="O14" s="9" t="n">
        <f aca="false">M14-M14*K14*L14</f>
        <v>752.358375</v>
      </c>
      <c r="P14" s="10" t="n">
        <f aca="false">O14/N14</f>
        <v>0.47</v>
      </c>
      <c r="Q14" s="12" t="str">
        <f aca="false">IF(P14&lt;Parameters!$B$6,"Below tolerance",IF(P14&lt;=Parameters!$B$7,"Approximately at tolerance","Above tolerance"))</f>
        <v>Below tolerance</v>
      </c>
    </row>
    <row r="15" customFormat="false" ht="15" hidden="false" customHeight="false" outlineLevel="0" collapsed="false">
      <c r="A15" s="12" t="s">
        <v>73</v>
      </c>
      <c r="B15" s="12" t="s">
        <v>207</v>
      </c>
      <c r="C15" s="10" t="n">
        <f aca="false">0*Parameters!$B$9</f>
        <v>0</v>
      </c>
      <c r="D15" s="10" t="n">
        <f aca="false">MAX(0.05,MIN(0.99,Inputs!C4+C15))</f>
        <v>0.85</v>
      </c>
      <c r="E15" s="10" t="n">
        <f aca="false">MAX(0.05,MIN(0.99,Inputs!D4+C15))</f>
        <v>0.55</v>
      </c>
      <c r="F15" s="10" t="n">
        <f aca="false">MAX(0.05,MIN(0.99,Inputs!E4+C15))</f>
        <v>0.55</v>
      </c>
      <c r="G15" s="10" t="n">
        <f aca="false">MAX(0.05,MIN(0.99,Inputs!F4+C15))</f>
        <v>0.85</v>
      </c>
      <c r="H15" s="10" t="n">
        <f aca="false">MAX(0.05,MIN(0.99,Inputs!G4-C15))</f>
        <v>0.4</v>
      </c>
      <c r="I15" s="6" t="n">
        <f aca="false">Inputs!H4</f>
        <v>0.85</v>
      </c>
      <c r="J15" s="7" t="n">
        <f aca="false">Inputs!J4</f>
        <v>9.3</v>
      </c>
      <c r="K15" s="10" t="n">
        <f aca="false">MAX(0.05,MIN(0.99,Inputs!K4-C15))</f>
        <v>0.8</v>
      </c>
      <c r="L15" s="10" t="n">
        <f aca="false">MAX(0.05,MIN(0.99,Inputs!L4-C15))</f>
        <v>0.75</v>
      </c>
      <c r="M15" s="9" t="n">
        <f aca="false">D15*E15*J15*((F15+G15)/2)*I15/H15*Parameters!$B$5</f>
        <v>6467.278125</v>
      </c>
      <c r="N15" s="9" t="n">
        <f aca="false">D15*E15*J15*Parameters!$B$4*I15/H15*Parameters!$B$5</f>
        <v>2771.690625</v>
      </c>
      <c r="O15" s="9" t="n">
        <f aca="false">M15-M15*K15*L15</f>
        <v>2586.91125</v>
      </c>
      <c r="P15" s="10" t="n">
        <f aca="false">O15/N15</f>
        <v>0.933333333333333</v>
      </c>
      <c r="Q15" s="12" t="str">
        <f aca="false">IF(P15&lt;Parameters!$B$6,"Below tolerance",IF(P15&lt;=Parameters!$B$7,"Approximately at tolerance","Above tolerance"))</f>
        <v>Approximately at tolerance</v>
      </c>
    </row>
    <row r="16" customFormat="false" ht="15" hidden="false" customHeight="false" outlineLevel="0" collapsed="false">
      <c r="A16" s="12" t="s">
        <v>73</v>
      </c>
      <c r="B16" s="12" t="s">
        <v>208</v>
      </c>
      <c r="C16" s="10" t="n">
        <f aca="false">1*Parameters!$B$9</f>
        <v>0.1</v>
      </c>
      <c r="D16" s="10" t="n">
        <f aca="false">MAX(0.05,MIN(0.99,Inputs!C4+C16))</f>
        <v>0.95</v>
      </c>
      <c r="E16" s="10" t="n">
        <f aca="false">MAX(0.05,MIN(0.99,Inputs!D4+C16))</f>
        <v>0.65</v>
      </c>
      <c r="F16" s="10" t="n">
        <f aca="false">MAX(0.05,MIN(0.99,Inputs!E4+C16))</f>
        <v>0.65</v>
      </c>
      <c r="G16" s="10" t="n">
        <f aca="false">MAX(0.05,MIN(0.99,Inputs!F4+C16))</f>
        <v>0.95</v>
      </c>
      <c r="H16" s="10" t="n">
        <f aca="false">MAX(0.05,MIN(0.99,Inputs!G4-C16))</f>
        <v>0.3</v>
      </c>
      <c r="I16" s="6" t="n">
        <f aca="false">Inputs!H4</f>
        <v>0.85</v>
      </c>
      <c r="J16" s="7" t="n">
        <f aca="false">Inputs!J4</f>
        <v>9.3</v>
      </c>
      <c r="K16" s="10" t="n">
        <f aca="false">MAX(0.05,MIN(0.99,Inputs!K4-C16))</f>
        <v>0.7</v>
      </c>
      <c r="L16" s="10" t="n">
        <f aca="false">MAX(0.05,MIN(0.99,Inputs!L4-C16))</f>
        <v>0.65</v>
      </c>
      <c r="M16" s="9" t="n">
        <f aca="false">D16*E16*J16*((F16+G16)/2)*I16/H16*Parameters!$B$5</f>
        <v>13016.9</v>
      </c>
      <c r="N16" s="9" t="n">
        <f aca="false">D16*E16*J16*Parameters!$B$4*I16/H16*Parameters!$B$5</f>
        <v>4881.3375</v>
      </c>
      <c r="O16" s="9" t="n">
        <f aca="false">M16-M16*K16*L16</f>
        <v>7094.2105</v>
      </c>
      <c r="P16" s="10" t="n">
        <f aca="false">O16/N16</f>
        <v>1.45333333333333</v>
      </c>
      <c r="Q16" s="12" t="str">
        <f aca="false">IF(P16&lt;Parameters!$B$6,"Below tolerance",IF(P16&lt;=Parameters!$B$7,"Approximately at tolerance","Above tolerance"))</f>
        <v>Above tolerance</v>
      </c>
    </row>
    <row r="17" customFormat="false" ht="15" hidden="false" customHeight="false" outlineLevel="0" collapsed="false">
      <c r="A17" s="12" t="s">
        <v>97</v>
      </c>
      <c r="B17" s="12" t="s">
        <v>206</v>
      </c>
      <c r="C17" s="10" t="n">
        <f aca="false">-1*Parameters!$B$9</f>
        <v>-0.1</v>
      </c>
      <c r="D17" s="10" t="n">
        <f aca="false">MAX(0.05,MIN(0.99,Inputs!C11+C17))</f>
        <v>0.7</v>
      </c>
      <c r="E17" s="10" t="n">
        <f aca="false">MAX(0.05,MIN(0.99,Inputs!D11+C17))</f>
        <v>0.5</v>
      </c>
      <c r="F17" s="10" t="n">
        <f aca="false">MAX(0.05,MIN(0.99,Inputs!E11+C17))</f>
        <v>0.5</v>
      </c>
      <c r="G17" s="10" t="n">
        <f aca="false">MAX(0.05,MIN(0.99,Inputs!F11+C17))</f>
        <v>0.8</v>
      </c>
      <c r="H17" s="10" t="n">
        <f aca="false">MAX(0.05,MIN(0.99,Inputs!G11-C17))</f>
        <v>0.4</v>
      </c>
      <c r="I17" s="6" t="n">
        <f aca="false">Inputs!H11</f>
        <v>0.85</v>
      </c>
      <c r="J17" s="7" t="n">
        <f aca="false">Inputs!J11</f>
        <v>9.2</v>
      </c>
      <c r="K17" s="10" t="n">
        <f aca="false">MAX(0.05,MIN(0.99,Inputs!K11-C17))</f>
        <v>0.8</v>
      </c>
      <c r="L17" s="10" t="n">
        <f aca="false">MAX(0.05,MIN(0.99,Inputs!L11-C17))</f>
        <v>0.9</v>
      </c>
      <c r="M17" s="9" t="n">
        <f aca="false">D17*E17*J17*((F17+G17)/2)*I17/H17*Parameters!$B$5</f>
        <v>4447.625</v>
      </c>
      <c r="N17" s="9" t="n">
        <f aca="false">D17*E17*J17*Parameters!$B$4*I17/H17*Parameters!$B$5</f>
        <v>2052.75</v>
      </c>
      <c r="O17" s="9" t="n">
        <f aca="false">M17-M17*K17*L17</f>
        <v>1245.335</v>
      </c>
      <c r="P17" s="10" t="n">
        <f aca="false">O17/N17</f>
        <v>0.606666666666667</v>
      </c>
      <c r="Q17" s="12" t="str">
        <f aca="false">IF(P17&lt;Parameters!$B$6,"Below tolerance",IF(P17&lt;=Parameters!$B$7,"Approximately at tolerance","Above tolerance"))</f>
        <v>Below tolerance</v>
      </c>
    </row>
    <row r="18" customFormat="false" ht="15" hidden="false" customHeight="false" outlineLevel="0" collapsed="false">
      <c r="A18" s="12" t="s">
        <v>97</v>
      </c>
      <c r="B18" s="12" t="s">
        <v>207</v>
      </c>
      <c r="C18" s="10" t="n">
        <f aca="false">0*Parameters!$B$9</f>
        <v>0</v>
      </c>
      <c r="D18" s="10" t="n">
        <f aca="false">MAX(0.05,MIN(0.99,Inputs!C11+C18))</f>
        <v>0.8</v>
      </c>
      <c r="E18" s="10" t="n">
        <f aca="false">MAX(0.05,MIN(0.99,Inputs!D11+C18))</f>
        <v>0.6</v>
      </c>
      <c r="F18" s="10" t="n">
        <f aca="false">MAX(0.05,MIN(0.99,Inputs!E11+C18))</f>
        <v>0.6</v>
      </c>
      <c r="G18" s="10" t="n">
        <f aca="false">MAX(0.05,MIN(0.99,Inputs!F11+C18))</f>
        <v>0.9</v>
      </c>
      <c r="H18" s="10" t="n">
        <f aca="false">MAX(0.05,MIN(0.99,Inputs!G11-C18))</f>
        <v>0.3</v>
      </c>
      <c r="I18" s="6" t="n">
        <f aca="false">Inputs!H11</f>
        <v>0.85</v>
      </c>
      <c r="J18" s="7" t="n">
        <f aca="false">Inputs!J11</f>
        <v>9.2</v>
      </c>
      <c r="K18" s="10" t="n">
        <f aca="false">MAX(0.05,MIN(0.99,Inputs!K11-C18))</f>
        <v>0.7</v>
      </c>
      <c r="L18" s="10" t="n">
        <f aca="false">MAX(0.05,MIN(0.99,Inputs!L11-C18))</f>
        <v>0.8</v>
      </c>
      <c r="M18" s="9" t="n">
        <f aca="false">D18*E18*J18*((F18+G18)/2)*I18/H18*Parameters!$B$5</f>
        <v>9384</v>
      </c>
      <c r="N18" s="9" t="n">
        <f aca="false">D18*E18*J18*Parameters!$B$4*I18/H18*Parameters!$B$5</f>
        <v>3753.6</v>
      </c>
      <c r="O18" s="9" t="n">
        <f aca="false">M18-M18*K18*L18</f>
        <v>4128.96</v>
      </c>
      <c r="P18" s="10" t="n">
        <f aca="false">O18/N18</f>
        <v>1.1</v>
      </c>
      <c r="Q18" s="12" t="str">
        <f aca="false">IF(P18&lt;Parameters!$B$6,"Below tolerance",IF(P18&lt;=Parameters!$B$7,"Approximately at tolerance","Above tolerance"))</f>
        <v>Approximately at tolerance</v>
      </c>
    </row>
    <row r="19" customFormat="false" ht="15" hidden="false" customHeight="false" outlineLevel="0" collapsed="false">
      <c r="A19" s="12" t="s">
        <v>97</v>
      </c>
      <c r="B19" s="12" t="s">
        <v>208</v>
      </c>
      <c r="C19" s="10" t="n">
        <f aca="false">1*Parameters!$B$9</f>
        <v>0.1</v>
      </c>
      <c r="D19" s="10" t="n">
        <f aca="false">MAX(0.05,MIN(0.99,Inputs!C11+C19))</f>
        <v>0.9</v>
      </c>
      <c r="E19" s="10" t="n">
        <f aca="false">MAX(0.05,MIN(0.99,Inputs!D11+C19))</f>
        <v>0.7</v>
      </c>
      <c r="F19" s="10" t="n">
        <f aca="false">MAX(0.05,MIN(0.99,Inputs!E11+C19))</f>
        <v>0.7</v>
      </c>
      <c r="G19" s="10" t="n">
        <f aca="false">MAX(0.05,MIN(0.99,Inputs!F11+C19))</f>
        <v>0.99</v>
      </c>
      <c r="H19" s="10" t="n">
        <f aca="false">MAX(0.05,MIN(0.99,Inputs!G11-C19))</f>
        <v>0.2</v>
      </c>
      <c r="I19" s="6" t="n">
        <f aca="false">Inputs!H11</f>
        <v>0.85</v>
      </c>
      <c r="J19" s="7" t="n">
        <f aca="false">Inputs!J11</f>
        <v>9.2</v>
      </c>
      <c r="K19" s="10" t="n">
        <f aca="false">MAX(0.05,MIN(0.99,Inputs!K11-C19))</f>
        <v>0.6</v>
      </c>
      <c r="L19" s="10" t="n">
        <f aca="false">MAX(0.05,MIN(0.99,Inputs!L11-C19))</f>
        <v>0.7</v>
      </c>
      <c r="M19" s="9" t="n">
        <f aca="false">D19*E19*J19*((F19+G19)/2)*I19/H19*Parameters!$B$5</f>
        <v>20814.885</v>
      </c>
      <c r="N19" s="9" t="n">
        <f aca="false">D19*E19*J19*Parameters!$B$4*I19/H19*Parameters!$B$5</f>
        <v>7389.9</v>
      </c>
      <c r="O19" s="9" t="n">
        <f aca="false">M19-M19*K19*L19</f>
        <v>12072.6333</v>
      </c>
      <c r="P19" s="10" t="n">
        <f aca="false">O19/N19</f>
        <v>1.63366666666667</v>
      </c>
      <c r="Q19" s="12" t="str">
        <f aca="false">IF(P19&lt;Parameters!$B$6,"Below tolerance",IF(P19&lt;=Parameters!$B$7,"Approximately at tolerance","Above tolerance"))</f>
        <v>Above tolerance</v>
      </c>
    </row>
    <row r="21" customFormat="false" ht="15" hidden="false" customHeight="false" outlineLevel="0" collapsed="false">
      <c r="A21" s="27" t="s">
        <v>209</v>
      </c>
    </row>
    <row r="22" customFormat="false" ht="23.85" hidden="false" customHeight="false" outlineLevel="0" collapsed="false">
      <c r="A22" s="3" t="s">
        <v>22</v>
      </c>
      <c r="B22" s="3" t="s">
        <v>210</v>
      </c>
      <c r="C22" s="3" t="s">
        <v>211</v>
      </c>
      <c r="D22" s="3" t="s">
        <v>212</v>
      </c>
    </row>
    <row r="23" customFormat="false" ht="15" hidden="false" customHeight="false" outlineLevel="0" collapsed="false">
      <c r="A23" s="12" t="s">
        <v>73</v>
      </c>
      <c r="B23" s="10" t="n">
        <f aca="false">Analyse!S5/(Analyse!M5/Analyse!J5*0.2)</f>
        <v>1.4</v>
      </c>
      <c r="C23" s="10" t="n">
        <f aca="false">Analyse!S5/(Analyse!M5/Analyse!J5*0.3)</f>
        <v>0.933333333333333</v>
      </c>
      <c r="D23" s="10" t="n">
        <f aca="false">Analyse!S5/(Analyse!M5/Analyse!J5*0.4)</f>
        <v>0.7</v>
      </c>
    </row>
    <row r="24" customFormat="false" ht="15" hidden="false" customHeight="false" outlineLevel="0" collapsed="false">
      <c r="A24" s="12" t="s">
        <v>79</v>
      </c>
      <c r="B24" s="10" t="n">
        <f aca="false">Analyse!S6/(Analyse!M6/Analyse!J6*0.2)</f>
        <v>1.8046875</v>
      </c>
      <c r="C24" s="10" t="n">
        <f aca="false">Analyse!S6/(Analyse!M6/Analyse!J6*0.3)</f>
        <v>1.203125</v>
      </c>
      <c r="D24" s="10" t="n">
        <f aca="false">Analyse!S6/(Analyse!M6/Analyse!J6*0.4)</f>
        <v>0.90234375</v>
      </c>
    </row>
    <row r="25" customFormat="false" ht="15" hidden="false" customHeight="false" outlineLevel="0" collapsed="false">
      <c r="A25" s="12" t="s">
        <v>82</v>
      </c>
      <c r="B25" s="10" t="n">
        <f aca="false">Analyse!S7/(Analyse!M7/Analyse!J7*0.2)</f>
        <v>1.2</v>
      </c>
      <c r="C25" s="10" t="n">
        <f aca="false">Analyse!S7/(Analyse!M7/Analyse!J7*0.3)</f>
        <v>0.8</v>
      </c>
      <c r="D25" s="10" t="n">
        <f aca="false">Analyse!S7/(Analyse!M7/Analyse!J7*0.4)</f>
        <v>0.6</v>
      </c>
    </row>
    <row r="26" customFormat="false" ht="15" hidden="false" customHeight="false" outlineLevel="0" collapsed="false">
      <c r="A26" s="12" t="s">
        <v>85</v>
      </c>
      <c r="B26" s="10" t="n">
        <f aca="false">Analyse!S8/(Analyse!M8/Analyse!J8*0.2)</f>
        <v>1.366875</v>
      </c>
      <c r="C26" s="10" t="n">
        <f aca="false">Analyse!S8/(Analyse!M8/Analyse!J8*0.3)</f>
        <v>0.91125</v>
      </c>
      <c r="D26" s="10" t="n">
        <f aca="false">Analyse!S8/(Analyse!M8/Analyse!J8*0.4)</f>
        <v>0.6834375</v>
      </c>
    </row>
    <row r="27" customFormat="false" ht="15" hidden="false" customHeight="false" outlineLevel="0" collapsed="false">
      <c r="A27" s="12" t="s">
        <v>88</v>
      </c>
      <c r="B27" s="10" t="n">
        <f aca="false">Analyse!S9/(Analyse!M9/Analyse!J9*0.2)</f>
        <v>1.83</v>
      </c>
      <c r="C27" s="10" t="n">
        <f aca="false">Analyse!S9/(Analyse!M9/Analyse!J9*0.3)</f>
        <v>1.22</v>
      </c>
      <c r="D27" s="10" t="n">
        <f aca="false">Analyse!S9/(Analyse!M9/Analyse!J9*0.4)</f>
        <v>0.915</v>
      </c>
    </row>
    <row r="28" customFormat="false" ht="15" hidden="false" customHeight="false" outlineLevel="0" collapsed="false">
      <c r="A28" s="12" t="s">
        <v>91</v>
      </c>
      <c r="B28" s="10" t="n">
        <f aca="false">Analyse!S10/(Analyse!M10/Analyse!J10*0.2)</f>
        <v>1.51875</v>
      </c>
      <c r="C28" s="10" t="n">
        <f aca="false">Analyse!S10/(Analyse!M10/Analyse!J10*0.3)</f>
        <v>1.0125</v>
      </c>
      <c r="D28" s="10" t="n">
        <f aca="false">Analyse!S10/(Analyse!M10/Analyse!J10*0.4)</f>
        <v>0.759375</v>
      </c>
    </row>
    <row r="29" customFormat="false" ht="15" hidden="false" customHeight="false" outlineLevel="0" collapsed="false">
      <c r="A29" s="12" t="s">
        <v>94</v>
      </c>
      <c r="B29" s="10" t="n">
        <f aca="false">Analyse!S11/(Analyse!M11/Analyse!J11*0.2)</f>
        <v>2.175</v>
      </c>
      <c r="C29" s="10" t="n">
        <f aca="false">Analyse!S11/(Analyse!M11/Analyse!J11*0.3)</f>
        <v>1.45</v>
      </c>
      <c r="D29" s="10" t="n">
        <f aca="false">Analyse!S11/(Analyse!M11/Analyse!J11*0.4)</f>
        <v>1.0875</v>
      </c>
    </row>
    <row r="30" customFormat="false" ht="15" hidden="false" customHeight="false" outlineLevel="0" collapsed="false">
      <c r="A30" s="12" t="s">
        <v>97</v>
      </c>
      <c r="B30" s="10" t="n">
        <f aca="false">Analyse!S12/(Analyse!M12/Analyse!J12*0.2)</f>
        <v>1.65</v>
      </c>
      <c r="C30" s="10" t="n">
        <f aca="false">Analyse!S12/(Analyse!M12/Analyse!J12*0.3)</f>
        <v>1.1</v>
      </c>
      <c r="D30" s="10" t="n">
        <f aca="false">Analyse!S12/(Analyse!M12/Analyse!J12*0.4)</f>
        <v>0.825</v>
      </c>
    </row>
    <row r="31" customFormat="false" ht="15" hidden="false" customHeight="false" outlineLevel="0" collapsed="false">
      <c r="A31" s="12" t="s">
        <v>100</v>
      </c>
      <c r="B31" s="10" t="n">
        <f aca="false">Analyse!S13/(Analyse!M13/Analyse!J13*0.2)</f>
        <v>2.30625</v>
      </c>
      <c r="C31" s="10" t="n">
        <f aca="false">Analyse!S13/(Analyse!M13/Analyse!J13*0.3)</f>
        <v>1.5375</v>
      </c>
      <c r="D31" s="10" t="n">
        <f aca="false">Analyse!S13/(Analyse!M13/Analyse!J13*0.4)</f>
        <v>1.153125</v>
      </c>
    </row>
    <row r="32" customFormat="false" ht="15" hidden="false" customHeight="false" outlineLevel="0" collapsed="false">
      <c r="A32" s="12" t="s">
        <v>103</v>
      </c>
      <c r="B32" s="10" t="n">
        <f aca="false">Analyse!S14/(Analyse!M14/Analyse!J14*0.2)</f>
        <v>1.78125</v>
      </c>
      <c r="C32" s="10" t="n">
        <f aca="false">Analyse!S14/(Analyse!M14/Analyse!J14*0.3)</f>
        <v>1.1875</v>
      </c>
      <c r="D32" s="10" t="n">
        <f aca="false">Analyse!S14/(Analyse!M14/Analyse!J14*0.4)</f>
        <v>0.890625</v>
      </c>
    </row>
  </sheetData>
  <conditionalFormatting sqref="P5:P19">
    <cfRule type="cellIs" priority="2" operator="greaterThan" aboveAverage="0" equalAverage="0" bottom="0" percent="0" rank="0" text="" dxfId="0">
      <formula>Parameters!$B$7</formula>
    </cfRule>
    <cfRule type="cellIs" priority="3" operator="between" aboveAverage="0" equalAverage="0" bottom="0" percent="0" rank="0" text="" dxfId="1">
      <formula>Parameters!$B$6</formula>
      <formula>Parameters!$B$7</formula>
    </cfRule>
    <cfRule type="cellIs" priority="4" operator="lessThan" aboveAverage="0" equalAverage="0" bottom="0" percent="0" rank="0" text="" dxfId="2">
      <formula>Parameters!$B$6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4" min="2" style="0" width="7"/>
    <col collapsed="false" customWidth="true" hidden="false" outlineLevel="0" max="5" min="5" style="0" width="9"/>
    <col collapsed="false" customWidth="true" hidden="false" outlineLevel="0" max="6" min="6" style="0" width="12"/>
    <col collapsed="false" customWidth="true" hidden="false" outlineLevel="0" max="7" min="7" style="0" width="11"/>
    <col collapsed="false" customWidth="true" hidden="false" outlineLevel="0" max="8" min="8" style="0" width="14"/>
    <col collapsed="false" customWidth="true" hidden="false" outlineLevel="0" max="9" min="9" style="0" width="11"/>
    <col collapsed="false" customWidth="true" hidden="false" outlineLevel="0" max="10" min="10" style="0" width="28"/>
  </cols>
  <sheetData>
    <row r="1" customFormat="false" ht="17.35" hidden="false" customHeight="false" outlineLevel="0" collapsed="false">
      <c r="A1" s="1" t="s">
        <v>213</v>
      </c>
    </row>
    <row r="2" customFormat="false" ht="15" hidden="false" customHeight="false" outlineLevel="0" collapsed="false">
      <c r="A2" s="2" t="s">
        <v>214</v>
      </c>
    </row>
    <row r="4" customFormat="false" ht="23.85" hidden="false" customHeight="false" outlineLevel="0" collapsed="false">
      <c r="A4" s="3" t="s">
        <v>22</v>
      </c>
      <c r="B4" s="3" t="s">
        <v>215</v>
      </c>
      <c r="C4" s="3" t="s">
        <v>216</v>
      </c>
      <c r="D4" s="3" t="s">
        <v>217</v>
      </c>
      <c r="E4" s="3" t="s">
        <v>218</v>
      </c>
      <c r="F4" s="3" t="s">
        <v>219</v>
      </c>
      <c r="G4" s="3" t="s">
        <v>220</v>
      </c>
      <c r="H4" s="3" t="s">
        <v>221</v>
      </c>
      <c r="I4" s="3" t="s">
        <v>220</v>
      </c>
      <c r="J4" s="3" t="s">
        <v>222</v>
      </c>
    </row>
    <row r="5" customFormat="false" ht="15" hidden="false" customHeight="false" outlineLevel="0" collapsed="false">
      <c r="A5" s="12" t="s">
        <v>73</v>
      </c>
      <c r="B5" s="6" t="n">
        <f aca="false">Inputs!C4</f>
        <v>0.85</v>
      </c>
      <c r="C5" s="6" t="n">
        <f aca="false">Inputs!D4</f>
        <v>0.55</v>
      </c>
      <c r="D5" s="10" t="n">
        <f aca="false">(Inputs!E4+Inputs!F4)/2</f>
        <v>0.7</v>
      </c>
      <c r="E5" s="6" t="n">
        <f aca="false">Inputs!G4</f>
        <v>0.4</v>
      </c>
      <c r="F5" s="28" t="n">
        <f aca="false">B5*C5*D5*(1-E5)</f>
        <v>0.19635</v>
      </c>
      <c r="G5" s="12" t="str">
        <f aca="false">IF(F5&lt;=0.07,"Low",IF(F5&lt;=0.15,"Moderate",IF(F5&lt;=0.25,"High","Critical")))</f>
        <v>High</v>
      </c>
      <c r="H5" s="28" t="n">
        <f aca="false">F5*(1-Inputs!K4*Inputs!L4)</f>
        <v>0.07854</v>
      </c>
      <c r="I5" s="12" t="str">
        <f aca="false">IF(H5&lt;=0.07,"Low",IF(H5&lt;=0.15,"Moderate",IF(H5&lt;=0.25,"High","Critical")))</f>
        <v>Moderate</v>
      </c>
      <c r="J5" s="12" t="str">
        <f aca="false">IF(H5&gt;Parameters!$B$11,"Board / ownership group",IF(H5&gt;Parameters!$B$10,"Executive leadership","CIO / Cybersecurity lead"))</f>
        <v>CIO / Cybersecurity lead</v>
      </c>
    </row>
    <row r="6" customFormat="false" ht="15" hidden="false" customHeight="false" outlineLevel="0" collapsed="false">
      <c r="A6" s="12" t="s">
        <v>79</v>
      </c>
      <c r="B6" s="6" t="n">
        <f aca="false">Inputs!C5</f>
        <v>0.75</v>
      </c>
      <c r="C6" s="6" t="n">
        <f aca="false">Inputs!D5</f>
        <v>0.5</v>
      </c>
      <c r="D6" s="10" t="n">
        <f aca="false">(Inputs!E5+Inputs!F5)/2</f>
        <v>0.825</v>
      </c>
      <c r="E6" s="6" t="n">
        <f aca="false">Inputs!G5</f>
        <v>0.35</v>
      </c>
      <c r="F6" s="28" t="n">
        <f aca="false">B6*C6*D6*(1-E6)</f>
        <v>0.20109375</v>
      </c>
      <c r="G6" s="12" t="str">
        <f aca="false">IF(F6&lt;=0.07,"Low",IF(F6&lt;=0.15,"Moderate",IF(F6&lt;=0.25,"High","Critical")))</f>
        <v>High</v>
      </c>
      <c r="H6" s="28" t="n">
        <f aca="false">F6*(1-Inputs!K5*Inputs!L5)</f>
        <v>0.087978515625</v>
      </c>
      <c r="I6" s="12" t="str">
        <f aca="false">IF(H6&lt;=0.07,"Low",IF(H6&lt;=0.15,"Moderate",IF(H6&lt;=0.25,"High","Critical")))</f>
        <v>Moderate</v>
      </c>
      <c r="J6" s="12" t="str">
        <f aca="false">IF(H6&gt;Parameters!$B$11,"Board / ownership group",IF(H6&gt;Parameters!$B$10,"Executive leadership","CIO / Cybersecurity lead"))</f>
        <v>CIO / Cybersecurity lead</v>
      </c>
    </row>
    <row r="7" customFormat="false" ht="15" hidden="false" customHeight="false" outlineLevel="0" collapsed="false">
      <c r="A7" s="12" t="s">
        <v>82</v>
      </c>
      <c r="B7" s="6" t="n">
        <f aca="false">Inputs!C6</f>
        <v>0.55</v>
      </c>
      <c r="C7" s="6" t="n">
        <f aca="false">Inputs!D6</f>
        <v>0.5</v>
      </c>
      <c r="D7" s="10" t="n">
        <f aca="false">(Inputs!E6+Inputs!F6)/2</f>
        <v>0.75</v>
      </c>
      <c r="E7" s="6" t="n">
        <f aca="false">Inputs!G6</f>
        <v>0.35</v>
      </c>
      <c r="F7" s="28" t="n">
        <f aca="false">B7*C7*D7*(1-E7)</f>
        <v>0.1340625</v>
      </c>
      <c r="G7" s="12" t="str">
        <f aca="false">IF(F7&lt;=0.07,"Low",IF(F7&lt;=0.15,"Moderate",IF(F7&lt;=0.25,"High","Critical")))</f>
        <v>Moderate</v>
      </c>
      <c r="H7" s="28" t="n">
        <f aca="false">F7*(1-Inputs!K6*Inputs!L6)</f>
        <v>0.0429</v>
      </c>
      <c r="I7" s="12" t="str">
        <f aca="false">IF(H7&lt;=0.07,"Low",IF(H7&lt;=0.15,"Moderate",IF(H7&lt;=0.25,"High","Critical")))</f>
        <v>Low</v>
      </c>
      <c r="J7" s="12" t="str">
        <f aca="false">IF(H7&gt;Parameters!$B$11,"Board / ownership group",IF(H7&gt;Parameters!$B$10,"Executive leadership","CIO / Cybersecurity lead"))</f>
        <v>CIO / Cybersecurity lead</v>
      </c>
    </row>
    <row r="8" customFormat="false" ht="15" hidden="false" customHeight="false" outlineLevel="0" collapsed="false">
      <c r="A8" s="12" t="s">
        <v>85</v>
      </c>
      <c r="B8" s="6" t="n">
        <f aca="false">Inputs!C7</f>
        <v>0.6</v>
      </c>
      <c r="C8" s="6" t="n">
        <f aca="false">Inputs!D7</f>
        <v>0.45</v>
      </c>
      <c r="D8" s="10" t="n">
        <f aca="false">(Inputs!E7+Inputs!F7)/2</f>
        <v>0.675</v>
      </c>
      <c r="E8" s="6" t="n">
        <f aca="false">Inputs!G7</f>
        <v>0.4</v>
      </c>
      <c r="F8" s="28" t="n">
        <f aca="false">B8*C8*D8*(1-E8)</f>
        <v>0.10935</v>
      </c>
      <c r="G8" s="12" t="str">
        <f aca="false">IF(F8&lt;=0.07,"Low",IF(F8&lt;=0.15,"Moderate",IF(F8&lt;=0.25,"High","Critical")))</f>
        <v>Moderate</v>
      </c>
      <c r="H8" s="28" t="n">
        <f aca="false">F8*(1-Inputs!K7*Inputs!L7)</f>
        <v>0.04428675</v>
      </c>
      <c r="I8" s="12" t="str">
        <f aca="false">IF(H8&lt;=0.07,"Low",IF(H8&lt;=0.15,"Moderate",IF(H8&lt;=0.25,"High","Critical")))</f>
        <v>Low</v>
      </c>
      <c r="J8" s="12" t="str">
        <f aca="false">IF(H8&gt;Parameters!$B$11,"Board / ownership group",IF(H8&gt;Parameters!$B$10,"Executive leadership","CIO / Cybersecurity lead"))</f>
        <v>CIO / Cybersecurity lead</v>
      </c>
    </row>
    <row r="9" customFormat="false" ht="15" hidden="false" customHeight="false" outlineLevel="0" collapsed="false">
      <c r="A9" s="12" t="s">
        <v>88</v>
      </c>
      <c r="B9" s="6" t="n">
        <f aca="false">Inputs!C8</f>
        <v>0.6</v>
      </c>
      <c r="C9" s="6" t="n">
        <f aca="false">Inputs!D8</f>
        <v>0.55</v>
      </c>
      <c r="D9" s="10" t="n">
        <f aca="false">(Inputs!E8+Inputs!F8)/2</f>
        <v>0.6</v>
      </c>
      <c r="E9" s="6" t="n">
        <f aca="false">Inputs!G8</f>
        <v>0.4</v>
      </c>
      <c r="F9" s="28" t="n">
        <f aca="false">B9*C9*D9*(1-E9)</f>
        <v>0.1188</v>
      </c>
      <c r="G9" s="12" t="str">
        <f aca="false">IF(F9&lt;=0.07,"Low",IF(F9&lt;=0.15,"Moderate",IF(F9&lt;=0.25,"High","Critical")))</f>
        <v>Moderate</v>
      </c>
      <c r="H9" s="28" t="n">
        <f aca="false">F9*(1-Inputs!K8*Inputs!L8)</f>
        <v>0.072468</v>
      </c>
      <c r="I9" s="12" t="str">
        <f aca="false">IF(H9&lt;=0.07,"Low",IF(H9&lt;=0.15,"Moderate",IF(H9&lt;=0.25,"High","Critical")))</f>
        <v>Moderate</v>
      </c>
      <c r="J9" s="12" t="str">
        <f aca="false">IF(H9&gt;Parameters!$B$11,"Board / ownership group",IF(H9&gt;Parameters!$B$10,"Executive leadership","CIO / Cybersecurity lead"))</f>
        <v>CIO / Cybersecurity lead</v>
      </c>
    </row>
    <row r="10" customFormat="false" ht="15" hidden="false" customHeight="false" outlineLevel="0" collapsed="false">
      <c r="A10" s="12" t="s">
        <v>91</v>
      </c>
      <c r="B10" s="6" t="n">
        <f aca="false">Inputs!C9</f>
        <v>0.8</v>
      </c>
      <c r="C10" s="6" t="n">
        <f aca="false">Inputs!D9</f>
        <v>0.5</v>
      </c>
      <c r="D10" s="10" t="n">
        <f aca="false">(Inputs!E9+Inputs!F9)/2</f>
        <v>0.75</v>
      </c>
      <c r="E10" s="6" t="n">
        <f aca="false">Inputs!G9</f>
        <v>0.4</v>
      </c>
      <c r="F10" s="28" t="n">
        <f aca="false">B10*C10*D10*(1-E10)</f>
        <v>0.18</v>
      </c>
      <c r="G10" s="12" t="str">
        <f aca="false">IF(F10&lt;=0.07,"Low",IF(F10&lt;=0.15,"Moderate",IF(F10&lt;=0.25,"High","Critical")))</f>
        <v>High</v>
      </c>
      <c r="H10" s="28" t="n">
        <f aca="false">F10*(1-Inputs!K9*Inputs!L9)</f>
        <v>0.0729</v>
      </c>
      <c r="I10" s="12" t="str">
        <f aca="false">IF(H10&lt;=0.07,"Low",IF(H10&lt;=0.15,"Moderate",IF(H10&lt;=0.25,"High","Critical")))</f>
        <v>Moderate</v>
      </c>
      <c r="J10" s="12" t="str">
        <f aca="false">IF(H10&gt;Parameters!$B$11,"Board / ownership group",IF(H10&gt;Parameters!$B$10,"Executive leadership","CIO / Cybersecurity lead"))</f>
        <v>CIO / Cybersecurity lead</v>
      </c>
    </row>
    <row r="11" customFormat="false" ht="15" hidden="false" customHeight="false" outlineLevel="0" collapsed="false">
      <c r="A11" s="12" t="s">
        <v>94</v>
      </c>
      <c r="B11" s="6" t="n">
        <f aca="false">Inputs!C10</f>
        <v>0.45</v>
      </c>
      <c r="C11" s="6" t="n">
        <f aca="false">Inputs!D10</f>
        <v>0.5</v>
      </c>
      <c r="D11" s="10" t="n">
        <f aca="false">(Inputs!E10+Inputs!F10)/2</f>
        <v>0.75</v>
      </c>
      <c r="E11" s="6" t="n">
        <f aca="false">Inputs!G10</f>
        <v>0.35</v>
      </c>
      <c r="F11" s="28" t="n">
        <f aca="false">B11*C11*D11*(1-E11)</f>
        <v>0.1096875</v>
      </c>
      <c r="G11" s="12" t="str">
        <f aca="false">IF(F11&lt;=0.07,"Low",IF(F11&lt;=0.15,"Moderate",IF(F11&lt;=0.25,"High","Critical")))</f>
        <v>Moderate</v>
      </c>
      <c r="H11" s="28" t="n">
        <f aca="false">F11*(1-Inputs!K10*Inputs!L10)</f>
        <v>0.06361875</v>
      </c>
      <c r="I11" s="12" t="str">
        <f aca="false">IF(H11&lt;=0.07,"Low",IF(H11&lt;=0.15,"Moderate",IF(H11&lt;=0.25,"High","Critical")))</f>
        <v>Low</v>
      </c>
      <c r="J11" s="12" t="str">
        <f aca="false">IF(H11&gt;Parameters!$B$11,"Board / ownership group",IF(H11&gt;Parameters!$B$10,"Executive leadership","CIO / Cybersecurity lead"))</f>
        <v>CIO / Cybersecurity lead</v>
      </c>
    </row>
    <row r="12" customFormat="false" ht="15" hidden="false" customHeight="false" outlineLevel="0" collapsed="false">
      <c r="A12" s="12" t="s">
        <v>97</v>
      </c>
      <c r="B12" s="6" t="n">
        <f aca="false">Inputs!C11</f>
        <v>0.8</v>
      </c>
      <c r="C12" s="6" t="n">
        <f aca="false">Inputs!D11</f>
        <v>0.6</v>
      </c>
      <c r="D12" s="10" t="n">
        <f aca="false">(Inputs!E11+Inputs!F11)/2</f>
        <v>0.75</v>
      </c>
      <c r="E12" s="6" t="n">
        <f aca="false">Inputs!G11</f>
        <v>0.3</v>
      </c>
      <c r="F12" s="28" t="n">
        <f aca="false">B12*C12*D12*(1-E12)</f>
        <v>0.252</v>
      </c>
      <c r="G12" s="12" t="str">
        <f aca="false">IF(F12&lt;=0.07,"Low",IF(F12&lt;=0.15,"Moderate",IF(F12&lt;=0.25,"High","Critical")))</f>
        <v>Critical</v>
      </c>
      <c r="H12" s="28" t="n">
        <f aca="false">F12*(1-Inputs!K11*Inputs!L11)</f>
        <v>0.11088</v>
      </c>
      <c r="I12" s="12" t="str">
        <f aca="false">IF(H12&lt;=0.07,"Low",IF(H12&lt;=0.15,"Moderate",IF(H12&lt;=0.25,"High","Critical")))</f>
        <v>Moderate</v>
      </c>
      <c r="J12" s="12" t="str">
        <f aca="false">IF(H12&gt;Parameters!$B$11,"Board / ownership group",IF(H12&gt;Parameters!$B$10,"Executive leadership","CIO / Cybersecurity lead"))</f>
        <v>CIO / Cybersecurity lead</v>
      </c>
    </row>
    <row r="13" customFormat="false" ht="15" hidden="false" customHeight="false" outlineLevel="0" collapsed="false">
      <c r="A13" s="12" t="s">
        <v>100</v>
      </c>
      <c r="B13" s="6" t="n">
        <f aca="false">Inputs!C12</f>
        <v>0.55</v>
      </c>
      <c r="C13" s="6" t="n">
        <f aca="false">Inputs!D12</f>
        <v>0.45</v>
      </c>
      <c r="D13" s="10" t="n">
        <f aca="false">(Inputs!E12+Inputs!F12)/2</f>
        <v>0.75</v>
      </c>
      <c r="E13" s="6" t="n">
        <f aca="false">Inputs!G12</f>
        <v>0.35</v>
      </c>
      <c r="F13" s="28" t="n">
        <f aca="false">B13*C13*D13*(1-E13)</f>
        <v>0.12065625</v>
      </c>
      <c r="G13" s="12" t="str">
        <f aca="false">IF(F13&lt;=0.07,"Low",IF(F13&lt;=0.15,"Moderate",IF(F13&lt;=0.25,"High","Critical")))</f>
        <v>Moderate</v>
      </c>
      <c r="H13" s="28" t="n">
        <f aca="false">F13*(1-Inputs!K12*Inputs!L12)</f>
        <v>0.07420359375</v>
      </c>
      <c r="I13" s="12" t="str">
        <f aca="false">IF(H13&lt;=0.07,"Low",IF(H13&lt;=0.15,"Moderate",IF(H13&lt;=0.25,"High","Critical")))</f>
        <v>Moderate</v>
      </c>
      <c r="J13" s="12" t="str">
        <f aca="false">IF(H13&gt;Parameters!$B$11,"Board / ownership group",IF(H13&gt;Parameters!$B$10,"Executive leadership","CIO / Cybersecurity lead"))</f>
        <v>CIO / Cybersecurity lead</v>
      </c>
    </row>
    <row r="14" customFormat="false" ht="15" hidden="false" customHeight="false" outlineLevel="0" collapsed="false">
      <c r="A14" s="12" t="s">
        <v>103</v>
      </c>
      <c r="B14" s="6" t="n">
        <f aca="false">Inputs!C13</f>
        <v>0.3</v>
      </c>
      <c r="C14" s="6" t="n">
        <f aca="false">Inputs!D13</f>
        <v>0.4</v>
      </c>
      <c r="D14" s="10" t="n">
        <f aca="false">(Inputs!E13+Inputs!F13)/2</f>
        <v>0.75</v>
      </c>
      <c r="E14" s="6" t="n">
        <f aca="false">Inputs!G13</f>
        <v>0.4</v>
      </c>
      <c r="F14" s="28" t="n">
        <f aca="false">B14*C14*D14*(1-E14)</f>
        <v>0.054</v>
      </c>
      <c r="G14" s="12" t="str">
        <f aca="false">IF(F14&lt;=0.07,"Low",IF(F14&lt;=0.15,"Moderate",IF(F14&lt;=0.25,"High","Critical")))</f>
        <v>Low</v>
      </c>
      <c r="H14" s="28" t="n">
        <f aca="false">F14*(1-Inputs!K13*Inputs!L13)</f>
        <v>0.02565</v>
      </c>
      <c r="I14" s="12" t="str">
        <f aca="false">IF(H14&lt;=0.07,"Low",IF(H14&lt;=0.15,"Moderate",IF(H14&lt;=0.25,"High","Critical")))</f>
        <v>Low</v>
      </c>
      <c r="J14" s="12" t="str">
        <f aca="false">IF(H14&gt;Parameters!$B$11,"Board / ownership group",IF(H14&gt;Parameters!$B$10,"Executive leadership","CIO / Cybersecurity lead"))</f>
        <v>CIO / Cybersecurity lead</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34"/>
    <col collapsed="false" customWidth="true" hidden="false" outlineLevel="0" max="4" min="4" style="0" width="70"/>
    <col collapsed="false" customWidth="true" hidden="false" outlineLevel="0" max="5" min="5" style="0" width="24"/>
    <col collapsed="false" customWidth="true" hidden="false" outlineLevel="0" max="6" min="6" style="0" width="50"/>
    <col collapsed="false" customWidth="true" hidden="false" outlineLevel="0" max="7" min="7" style="0" width="40"/>
    <col collapsed="false" customWidth="true" hidden="false" outlineLevel="0" max="8" min="8" style="0" width="50"/>
    <col collapsed="false" customWidth="true" hidden="false" outlineLevel="0" max="9" min="9" style="0" width="20"/>
    <col collapsed="false" customWidth="true" hidden="false" outlineLevel="0" max="10" min="10" style="0" width="22"/>
    <col collapsed="false" customWidth="true" hidden="false" outlineLevel="0" max="11" min="11" style="0" width="12"/>
    <col collapsed="false" customWidth="true" hidden="false" outlineLevel="0" max="12" min="12" style="0" width="60"/>
  </cols>
  <sheetData>
    <row r="1" customFormat="false" ht="15" hidden="false" customHeight="false" outlineLevel="0" collapsed="false">
      <c r="A1" s="3" t="s">
        <v>22</v>
      </c>
      <c r="B1" s="3" t="s">
        <v>223</v>
      </c>
      <c r="C1" s="3" t="s">
        <v>23</v>
      </c>
      <c r="D1" s="3" t="s">
        <v>224</v>
      </c>
      <c r="E1" s="3" t="s">
        <v>225</v>
      </c>
      <c r="F1" s="3" t="s">
        <v>226</v>
      </c>
      <c r="G1" s="3" t="s">
        <v>227</v>
      </c>
      <c r="H1" s="3" t="s">
        <v>228</v>
      </c>
      <c r="I1" s="3" t="s">
        <v>229</v>
      </c>
      <c r="J1" s="3" t="s">
        <v>230</v>
      </c>
      <c r="K1" s="3" t="s">
        <v>231</v>
      </c>
      <c r="L1" s="3" t="s">
        <v>232</v>
      </c>
    </row>
    <row r="2" customFormat="false" ht="79.85" hidden="false" customHeight="false" outlineLevel="0" collapsed="false">
      <c r="A2" s="19" t="s">
        <v>73</v>
      </c>
      <c r="B2" s="19" t="s">
        <v>233</v>
      </c>
      <c r="C2" s="19" t="s">
        <v>74</v>
      </c>
      <c r="D2" s="19" t="s">
        <v>234</v>
      </c>
      <c r="E2" s="19" t="s">
        <v>235</v>
      </c>
      <c r="F2" s="19" t="s">
        <v>236</v>
      </c>
      <c r="G2" s="19" t="s">
        <v>237</v>
      </c>
      <c r="H2" s="19" t="s">
        <v>238</v>
      </c>
      <c r="I2" s="19" t="s">
        <v>239</v>
      </c>
      <c r="J2" s="19" t="s">
        <v>240</v>
      </c>
      <c r="K2" s="19" t="s">
        <v>241</v>
      </c>
      <c r="L2" s="19" t="s">
        <v>242</v>
      </c>
    </row>
    <row r="3" customFormat="false" ht="91" hidden="false" customHeight="false" outlineLevel="0" collapsed="false">
      <c r="A3" s="19" t="s">
        <v>79</v>
      </c>
      <c r="B3" s="19" t="s">
        <v>243</v>
      </c>
      <c r="C3" s="19" t="s">
        <v>80</v>
      </c>
      <c r="D3" s="19" t="s">
        <v>244</v>
      </c>
      <c r="E3" s="19" t="s">
        <v>245</v>
      </c>
      <c r="F3" s="19" t="s">
        <v>246</v>
      </c>
      <c r="G3" s="19" t="s">
        <v>247</v>
      </c>
      <c r="H3" s="19" t="s">
        <v>248</v>
      </c>
      <c r="I3" s="19" t="s">
        <v>249</v>
      </c>
      <c r="J3" s="19" t="s">
        <v>250</v>
      </c>
      <c r="K3" s="19" t="s">
        <v>251</v>
      </c>
      <c r="L3" s="19" t="s">
        <v>252</v>
      </c>
    </row>
    <row r="4" customFormat="false" ht="46.25" hidden="false" customHeight="false" outlineLevel="0" collapsed="false">
      <c r="A4" s="19" t="s">
        <v>82</v>
      </c>
      <c r="B4" s="19" t="s">
        <v>253</v>
      </c>
      <c r="C4" s="19" t="s">
        <v>83</v>
      </c>
      <c r="D4" s="19" t="s">
        <v>254</v>
      </c>
      <c r="E4" s="19" t="s">
        <v>255</v>
      </c>
      <c r="F4" s="19" t="s">
        <v>256</v>
      </c>
      <c r="G4" s="19" t="s">
        <v>257</v>
      </c>
      <c r="H4" s="19" t="s">
        <v>258</v>
      </c>
      <c r="I4" s="19" t="s">
        <v>259</v>
      </c>
      <c r="J4" s="19" t="s">
        <v>240</v>
      </c>
      <c r="K4" s="19" t="s">
        <v>260</v>
      </c>
      <c r="L4" s="19" t="s">
        <v>261</v>
      </c>
    </row>
    <row r="5" customFormat="false" ht="46.25" hidden="false" customHeight="false" outlineLevel="0" collapsed="false">
      <c r="A5" s="19" t="s">
        <v>85</v>
      </c>
      <c r="B5" s="19" t="s">
        <v>262</v>
      </c>
      <c r="C5" s="19" t="s">
        <v>86</v>
      </c>
      <c r="D5" s="19" t="s">
        <v>263</v>
      </c>
      <c r="E5" s="19" t="s">
        <v>264</v>
      </c>
      <c r="F5" s="19" t="s">
        <v>265</v>
      </c>
      <c r="G5" s="19" t="s">
        <v>266</v>
      </c>
      <c r="H5" s="19" t="s">
        <v>267</v>
      </c>
      <c r="I5" s="19" t="s">
        <v>268</v>
      </c>
      <c r="J5" s="19" t="s">
        <v>269</v>
      </c>
      <c r="K5" s="19" t="s">
        <v>241</v>
      </c>
      <c r="L5" s="19" t="s">
        <v>270</v>
      </c>
    </row>
    <row r="6" customFormat="false" ht="46.25" hidden="false" customHeight="false" outlineLevel="0" collapsed="false">
      <c r="A6" s="19" t="s">
        <v>88</v>
      </c>
      <c r="B6" s="19" t="s">
        <v>271</v>
      </c>
      <c r="C6" s="19" t="s">
        <v>89</v>
      </c>
      <c r="D6" s="19" t="s">
        <v>272</v>
      </c>
      <c r="E6" s="19" t="s">
        <v>273</v>
      </c>
      <c r="F6" s="19" t="s">
        <v>274</v>
      </c>
      <c r="G6" s="19" t="s">
        <v>275</v>
      </c>
      <c r="H6" s="19" t="s">
        <v>276</v>
      </c>
      <c r="I6" s="19" t="s">
        <v>277</v>
      </c>
      <c r="J6" s="19" t="s">
        <v>278</v>
      </c>
      <c r="K6" s="19" t="s">
        <v>279</v>
      </c>
      <c r="L6" s="19" t="s">
        <v>280</v>
      </c>
    </row>
    <row r="7" customFormat="false" ht="46.25" hidden="false" customHeight="false" outlineLevel="0" collapsed="false">
      <c r="A7" s="19" t="s">
        <v>91</v>
      </c>
      <c r="B7" s="19" t="s">
        <v>281</v>
      </c>
      <c r="C7" s="19" t="s">
        <v>92</v>
      </c>
      <c r="D7" s="19" t="s">
        <v>282</v>
      </c>
      <c r="E7" s="19" t="s">
        <v>283</v>
      </c>
      <c r="F7" s="19" t="s">
        <v>284</v>
      </c>
      <c r="G7" s="19" t="s">
        <v>285</v>
      </c>
      <c r="H7" s="19" t="s">
        <v>286</v>
      </c>
      <c r="I7" s="19" t="s">
        <v>287</v>
      </c>
      <c r="J7" s="19" t="s">
        <v>240</v>
      </c>
      <c r="K7" s="19" t="s">
        <v>288</v>
      </c>
      <c r="L7" s="19" t="s">
        <v>289</v>
      </c>
    </row>
    <row r="8" customFormat="false" ht="57.45" hidden="false" customHeight="false" outlineLevel="0" collapsed="false">
      <c r="A8" s="19" t="s">
        <v>94</v>
      </c>
      <c r="B8" s="19" t="s">
        <v>290</v>
      </c>
      <c r="C8" s="19" t="s">
        <v>95</v>
      </c>
      <c r="D8" s="19" t="s">
        <v>291</v>
      </c>
      <c r="E8" s="19" t="s">
        <v>292</v>
      </c>
      <c r="F8" s="19" t="s">
        <v>293</v>
      </c>
      <c r="G8" s="19" t="s">
        <v>294</v>
      </c>
      <c r="H8" s="19" t="s">
        <v>295</v>
      </c>
      <c r="I8" s="19" t="s">
        <v>296</v>
      </c>
      <c r="J8" s="19" t="s">
        <v>297</v>
      </c>
      <c r="K8" s="19" t="s">
        <v>298</v>
      </c>
      <c r="L8" s="19" t="s">
        <v>299</v>
      </c>
    </row>
    <row r="9" customFormat="false" ht="57.45" hidden="false" customHeight="false" outlineLevel="0" collapsed="false">
      <c r="A9" s="19" t="s">
        <v>97</v>
      </c>
      <c r="B9" s="19" t="s">
        <v>300</v>
      </c>
      <c r="C9" s="19" t="s">
        <v>98</v>
      </c>
      <c r="D9" s="19" t="s">
        <v>301</v>
      </c>
      <c r="E9" s="19" t="s">
        <v>302</v>
      </c>
      <c r="F9" s="19" t="s">
        <v>303</v>
      </c>
      <c r="G9" s="19" t="s">
        <v>304</v>
      </c>
      <c r="H9" s="19" t="s">
        <v>305</v>
      </c>
      <c r="I9" s="19" t="s">
        <v>306</v>
      </c>
      <c r="J9" s="19" t="s">
        <v>129</v>
      </c>
      <c r="K9" s="19" t="s">
        <v>241</v>
      </c>
      <c r="L9" s="19" t="s">
        <v>307</v>
      </c>
    </row>
    <row r="10" customFormat="false" ht="57.45" hidden="false" customHeight="false" outlineLevel="0" collapsed="false">
      <c r="A10" s="19" t="s">
        <v>100</v>
      </c>
      <c r="B10" s="19" t="s">
        <v>308</v>
      </c>
      <c r="C10" s="19" t="s">
        <v>101</v>
      </c>
      <c r="D10" s="19" t="s">
        <v>309</v>
      </c>
      <c r="E10" s="19" t="s">
        <v>310</v>
      </c>
      <c r="F10" s="19" t="s">
        <v>311</v>
      </c>
      <c r="G10" s="19" t="s">
        <v>312</v>
      </c>
      <c r="H10" s="19" t="s">
        <v>313</v>
      </c>
      <c r="I10" s="19" t="s">
        <v>314</v>
      </c>
      <c r="J10" s="19" t="s">
        <v>315</v>
      </c>
      <c r="K10" s="19" t="s">
        <v>316</v>
      </c>
      <c r="L10" s="19" t="s">
        <v>317</v>
      </c>
    </row>
    <row r="11" customFormat="false" ht="46.25" hidden="false" customHeight="false" outlineLevel="0" collapsed="false">
      <c r="A11" s="19" t="s">
        <v>103</v>
      </c>
      <c r="B11" s="19" t="s">
        <v>318</v>
      </c>
      <c r="C11" s="19" t="s">
        <v>104</v>
      </c>
      <c r="D11" s="19" t="s">
        <v>319</v>
      </c>
      <c r="E11" s="19" t="s">
        <v>320</v>
      </c>
      <c r="F11" s="19" t="s">
        <v>321</v>
      </c>
      <c r="G11" s="19" t="s">
        <v>322</v>
      </c>
      <c r="H11" s="19" t="s">
        <v>323</v>
      </c>
      <c r="I11" s="19" t="s">
        <v>324</v>
      </c>
      <c r="J11" s="19" t="s">
        <v>325</v>
      </c>
      <c r="K11" s="19" t="s">
        <v>326</v>
      </c>
      <c r="L11" s="19" t="s">
        <v>327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4"/>
    <col collapsed="false" customWidth="true" hidden="false" outlineLevel="0" max="3" min="3" style="0" width="22"/>
    <col collapsed="false" customWidth="true" hidden="false" outlineLevel="0" max="4" min="4" style="0" width="38"/>
    <col collapsed="false" customWidth="true" hidden="false" outlineLevel="0" max="5" min="5" style="0" width="14"/>
    <col collapsed="false" customWidth="true" hidden="false" outlineLevel="0" max="6" min="6" style="0" width="28"/>
    <col collapsed="false" customWidth="true" hidden="false" outlineLevel="0" max="7" min="7" style="0" width="14"/>
    <col collapsed="false" customWidth="true" hidden="false" outlineLevel="0" max="8" min="8" style="0" width="18"/>
    <col collapsed="false" customWidth="true" hidden="false" outlineLevel="0" max="9" min="9" style="0" width="50"/>
  </cols>
  <sheetData>
    <row r="1" customFormat="false" ht="15" hidden="false" customHeight="false" outlineLevel="0" collapsed="false">
      <c r="A1" s="3" t="s">
        <v>22</v>
      </c>
      <c r="B1" s="3" t="s">
        <v>328</v>
      </c>
      <c r="C1" s="3" t="s">
        <v>225</v>
      </c>
      <c r="D1" s="3" t="s">
        <v>329</v>
      </c>
      <c r="E1" s="3" t="s">
        <v>330</v>
      </c>
      <c r="F1" s="3" t="s">
        <v>331</v>
      </c>
      <c r="G1" s="3" t="s">
        <v>223</v>
      </c>
      <c r="H1" s="3" t="s">
        <v>332</v>
      </c>
      <c r="I1" s="3" t="s">
        <v>333</v>
      </c>
    </row>
    <row r="2" customFormat="false" ht="23.85" hidden="false" customHeight="false" outlineLevel="0" collapsed="false">
      <c r="A2" s="19" t="s">
        <v>334</v>
      </c>
      <c r="B2" s="19" t="s">
        <v>335</v>
      </c>
      <c r="C2" s="19" t="s">
        <v>336</v>
      </c>
      <c r="D2" s="19" t="s">
        <v>337</v>
      </c>
      <c r="E2" s="19" t="s">
        <v>338</v>
      </c>
      <c r="F2" s="19" t="s">
        <v>339</v>
      </c>
      <c r="G2" s="19" t="s">
        <v>340</v>
      </c>
      <c r="H2" s="19" t="s">
        <v>341</v>
      </c>
      <c r="I2" s="19" t="s">
        <v>342</v>
      </c>
    </row>
    <row r="3" customFormat="false" ht="23.85" hidden="false" customHeight="false" outlineLevel="0" collapsed="false">
      <c r="A3" s="19" t="s">
        <v>343</v>
      </c>
      <c r="B3" s="19" t="s">
        <v>344</v>
      </c>
      <c r="C3" s="19" t="s">
        <v>345</v>
      </c>
      <c r="D3" s="19" t="s">
        <v>346</v>
      </c>
      <c r="E3" s="19" t="s">
        <v>347</v>
      </c>
      <c r="F3" s="19" t="s">
        <v>348</v>
      </c>
      <c r="G3" s="19" t="s">
        <v>243</v>
      </c>
      <c r="H3" s="19" t="s">
        <v>349</v>
      </c>
      <c r="I3" s="19" t="s">
        <v>350</v>
      </c>
    </row>
    <row r="4" customFormat="false" ht="23.85" hidden="false" customHeight="false" outlineLevel="0" collapsed="false">
      <c r="A4" s="19" t="s">
        <v>351</v>
      </c>
      <c r="B4" s="19" t="s">
        <v>352</v>
      </c>
      <c r="C4" s="19" t="s">
        <v>353</v>
      </c>
      <c r="D4" s="19" t="s">
        <v>354</v>
      </c>
      <c r="E4" s="19" t="s">
        <v>355</v>
      </c>
      <c r="F4" s="19" t="s">
        <v>356</v>
      </c>
      <c r="G4" s="19" t="s">
        <v>253</v>
      </c>
      <c r="H4" s="19" t="s">
        <v>357</v>
      </c>
      <c r="I4" s="19" t="s">
        <v>358</v>
      </c>
    </row>
    <row r="5" customFormat="false" ht="23.85" hidden="false" customHeight="false" outlineLevel="0" collapsed="false">
      <c r="A5" s="19" t="s">
        <v>359</v>
      </c>
      <c r="B5" s="19" t="s">
        <v>360</v>
      </c>
      <c r="C5" s="19" t="s">
        <v>361</v>
      </c>
      <c r="D5" s="19" t="s">
        <v>362</v>
      </c>
      <c r="E5" s="19" t="s">
        <v>363</v>
      </c>
      <c r="F5" s="19" t="s">
        <v>364</v>
      </c>
      <c r="G5" s="19" t="s">
        <v>262</v>
      </c>
      <c r="H5" s="19" t="s">
        <v>365</v>
      </c>
      <c r="I5" s="19" t="s">
        <v>366</v>
      </c>
    </row>
    <row r="6" customFormat="false" ht="35.05" hidden="false" customHeight="false" outlineLevel="0" collapsed="false">
      <c r="A6" s="19" t="s">
        <v>367</v>
      </c>
      <c r="B6" s="19" t="s">
        <v>368</v>
      </c>
      <c r="C6" s="19" t="s">
        <v>369</v>
      </c>
      <c r="D6" s="19" t="s">
        <v>370</v>
      </c>
      <c r="E6" s="19" t="s">
        <v>371</v>
      </c>
      <c r="F6" s="19" t="s">
        <v>372</v>
      </c>
      <c r="G6" s="19" t="s">
        <v>373</v>
      </c>
      <c r="H6" s="19" t="s">
        <v>374</v>
      </c>
      <c r="I6" s="19" t="s">
        <v>375</v>
      </c>
    </row>
    <row r="7" customFormat="false" ht="23.85" hidden="false" customHeight="false" outlineLevel="0" collapsed="false">
      <c r="A7" s="19" t="s">
        <v>376</v>
      </c>
      <c r="B7" s="19" t="s">
        <v>377</v>
      </c>
      <c r="C7" s="19" t="s">
        <v>378</v>
      </c>
      <c r="D7" s="19" t="s">
        <v>379</v>
      </c>
      <c r="E7" s="19" t="s">
        <v>380</v>
      </c>
      <c r="F7" s="19" t="s">
        <v>381</v>
      </c>
      <c r="G7" s="19" t="s">
        <v>382</v>
      </c>
      <c r="H7" s="19" t="s">
        <v>383</v>
      </c>
      <c r="I7" s="19" t="s">
        <v>384</v>
      </c>
    </row>
    <row r="8" customFormat="false" ht="23.85" hidden="false" customHeight="false" outlineLevel="0" collapsed="false">
      <c r="A8" s="19" t="s">
        <v>385</v>
      </c>
      <c r="B8" s="19" t="s">
        <v>92</v>
      </c>
      <c r="C8" s="19" t="s">
        <v>386</v>
      </c>
      <c r="D8" s="19" t="s">
        <v>387</v>
      </c>
      <c r="E8" s="19" t="s">
        <v>388</v>
      </c>
      <c r="F8" s="19" t="s">
        <v>389</v>
      </c>
      <c r="G8" s="19" t="s">
        <v>281</v>
      </c>
      <c r="H8" s="19" t="s">
        <v>390</v>
      </c>
      <c r="I8" s="19" t="s">
        <v>391</v>
      </c>
    </row>
    <row r="9" customFormat="false" ht="23.85" hidden="false" customHeight="false" outlineLevel="0" collapsed="false">
      <c r="A9" s="19" t="s">
        <v>392</v>
      </c>
      <c r="B9" s="19" t="s">
        <v>393</v>
      </c>
      <c r="C9" s="19" t="s">
        <v>394</v>
      </c>
      <c r="D9" s="19" t="s">
        <v>395</v>
      </c>
      <c r="E9" s="19" t="s">
        <v>396</v>
      </c>
      <c r="F9" s="19" t="s">
        <v>397</v>
      </c>
      <c r="G9" s="19" t="s">
        <v>398</v>
      </c>
      <c r="H9" s="19" t="s">
        <v>399</v>
      </c>
      <c r="I9" s="19" t="s">
        <v>400</v>
      </c>
    </row>
    <row r="10" customFormat="false" ht="23.85" hidden="false" customHeight="false" outlineLevel="0" collapsed="false">
      <c r="A10" s="19" t="s">
        <v>401</v>
      </c>
      <c r="B10" s="19" t="s">
        <v>402</v>
      </c>
      <c r="C10" s="19" t="s">
        <v>336</v>
      </c>
      <c r="D10" s="19" t="s">
        <v>403</v>
      </c>
      <c r="E10" s="19" t="s">
        <v>404</v>
      </c>
      <c r="F10" s="19" t="s">
        <v>405</v>
      </c>
      <c r="G10" s="19" t="s">
        <v>406</v>
      </c>
      <c r="H10" s="19" t="s">
        <v>407</v>
      </c>
      <c r="I10" s="19" t="s">
        <v>408</v>
      </c>
    </row>
    <row r="11" customFormat="false" ht="23.85" hidden="false" customHeight="false" outlineLevel="0" collapsed="false">
      <c r="A11" s="19" t="s">
        <v>409</v>
      </c>
      <c r="B11" s="19" t="s">
        <v>410</v>
      </c>
      <c r="C11" s="19" t="s">
        <v>411</v>
      </c>
      <c r="D11" s="19" t="s">
        <v>412</v>
      </c>
      <c r="E11" s="19" t="s">
        <v>413</v>
      </c>
      <c r="F11" s="19" t="s">
        <v>414</v>
      </c>
      <c r="G11" s="19" t="s">
        <v>415</v>
      </c>
      <c r="H11" s="19" t="s">
        <v>374</v>
      </c>
      <c r="I11" s="19" t="s">
        <v>416</v>
      </c>
    </row>
    <row r="12" customFormat="false" ht="23.85" hidden="false" customHeight="false" outlineLevel="0" collapsed="false">
      <c r="A12" s="19" t="s">
        <v>417</v>
      </c>
      <c r="B12" s="19" t="s">
        <v>418</v>
      </c>
      <c r="C12" s="19" t="s">
        <v>419</v>
      </c>
      <c r="D12" s="19" t="s">
        <v>420</v>
      </c>
      <c r="E12" s="19" t="s">
        <v>421</v>
      </c>
      <c r="F12" s="19" t="s">
        <v>422</v>
      </c>
      <c r="G12" s="19" t="s">
        <v>423</v>
      </c>
      <c r="H12" s="19" t="s">
        <v>424</v>
      </c>
      <c r="I12" s="19" t="s">
        <v>425</v>
      </c>
    </row>
    <row r="13" customFormat="false" ht="23.85" hidden="false" customHeight="false" outlineLevel="0" collapsed="false">
      <c r="A13" s="19" t="s">
        <v>426</v>
      </c>
      <c r="B13" s="19" t="s">
        <v>427</v>
      </c>
      <c r="C13" s="19" t="s">
        <v>428</v>
      </c>
      <c r="D13" s="19" t="s">
        <v>429</v>
      </c>
      <c r="E13" s="19" t="s">
        <v>430</v>
      </c>
      <c r="F13" s="19" t="s">
        <v>431</v>
      </c>
      <c r="G13" s="19" t="s">
        <v>318</v>
      </c>
      <c r="H13" s="19" t="s">
        <v>432</v>
      </c>
      <c r="I13" s="19" t="s">
        <v>433</v>
      </c>
    </row>
    <row r="14" customFormat="false" ht="23.85" hidden="false" customHeight="false" outlineLevel="0" collapsed="false">
      <c r="A14" s="19" t="s">
        <v>434</v>
      </c>
      <c r="B14" s="19" t="s">
        <v>435</v>
      </c>
      <c r="C14" s="19" t="s">
        <v>436</v>
      </c>
      <c r="D14" s="19" t="s">
        <v>437</v>
      </c>
      <c r="E14" s="19" t="s">
        <v>438</v>
      </c>
      <c r="F14" s="19" t="s">
        <v>439</v>
      </c>
      <c r="G14" s="19" t="s">
        <v>308</v>
      </c>
      <c r="H14" s="19" t="s">
        <v>440</v>
      </c>
      <c r="I14" s="19" t="s">
        <v>441</v>
      </c>
    </row>
    <row r="15" customFormat="false" ht="23.85" hidden="false" customHeight="false" outlineLevel="0" collapsed="false">
      <c r="A15" s="19" t="s">
        <v>442</v>
      </c>
      <c r="B15" s="19" t="s">
        <v>443</v>
      </c>
      <c r="C15" s="19" t="s">
        <v>444</v>
      </c>
      <c r="D15" s="19" t="s">
        <v>445</v>
      </c>
      <c r="E15" s="19" t="s">
        <v>396</v>
      </c>
      <c r="F15" s="19" t="s">
        <v>446</v>
      </c>
      <c r="G15" s="19" t="s">
        <v>447</v>
      </c>
      <c r="H15" s="19" t="s">
        <v>448</v>
      </c>
      <c r="I15" s="19" t="s">
        <v>449</v>
      </c>
    </row>
    <row r="16" customFormat="false" ht="23.85" hidden="false" customHeight="false" outlineLevel="0" collapsed="false">
      <c r="A16" s="19" t="s">
        <v>450</v>
      </c>
      <c r="B16" s="19" t="s">
        <v>451</v>
      </c>
      <c r="C16" s="19" t="s">
        <v>452</v>
      </c>
      <c r="D16" s="19" t="s">
        <v>453</v>
      </c>
      <c r="E16" s="19" t="s">
        <v>454</v>
      </c>
      <c r="F16" s="19" t="s">
        <v>455</v>
      </c>
      <c r="G16" s="19" t="s">
        <v>456</v>
      </c>
      <c r="H16" s="19" t="s">
        <v>457</v>
      </c>
      <c r="I16" s="19" t="s">
        <v>458</v>
      </c>
    </row>
    <row r="17" customFormat="false" ht="23.85" hidden="false" customHeight="false" outlineLevel="0" collapsed="false">
      <c r="A17" s="19" t="s">
        <v>459</v>
      </c>
      <c r="B17" s="19" t="s">
        <v>460</v>
      </c>
      <c r="C17" s="19" t="s">
        <v>461</v>
      </c>
      <c r="D17" s="19" t="s">
        <v>462</v>
      </c>
      <c r="E17" s="19" t="s">
        <v>355</v>
      </c>
      <c r="F17" s="19" t="s">
        <v>463</v>
      </c>
      <c r="G17" s="19" t="s">
        <v>464</v>
      </c>
      <c r="H17" s="19" t="s">
        <v>374</v>
      </c>
      <c r="I17" s="19" t="s">
        <v>465</v>
      </c>
    </row>
    <row r="18" customFormat="false" ht="23.85" hidden="false" customHeight="false" outlineLevel="0" collapsed="false">
      <c r="A18" s="19" t="s">
        <v>466</v>
      </c>
      <c r="B18" s="19" t="s">
        <v>467</v>
      </c>
      <c r="C18" s="19" t="s">
        <v>468</v>
      </c>
      <c r="D18" s="19" t="s">
        <v>469</v>
      </c>
      <c r="E18" s="19" t="s">
        <v>470</v>
      </c>
      <c r="F18" s="19" t="s">
        <v>471</v>
      </c>
      <c r="G18" s="19" t="s">
        <v>472</v>
      </c>
      <c r="H18" s="19" t="s">
        <v>374</v>
      </c>
      <c r="I18" s="19" t="s">
        <v>473</v>
      </c>
    </row>
    <row r="19" customFormat="false" ht="15" hidden="false" customHeight="false" outlineLevel="0" collapsed="false">
      <c r="A19" s="19" t="s">
        <v>474</v>
      </c>
      <c r="B19" s="19" t="s">
        <v>475</v>
      </c>
      <c r="C19" s="19" t="s">
        <v>476</v>
      </c>
      <c r="D19" s="19" t="s">
        <v>477</v>
      </c>
      <c r="E19" s="19" t="s">
        <v>478</v>
      </c>
      <c r="F19" s="19" t="s">
        <v>479</v>
      </c>
      <c r="G19" s="19" t="s">
        <v>480</v>
      </c>
      <c r="H19" s="19" t="s">
        <v>374</v>
      </c>
      <c r="I19" s="19" t="s">
        <v>481</v>
      </c>
    </row>
    <row r="20" customFormat="false" ht="15" hidden="false" customHeight="false" outlineLevel="0" collapsed="false">
      <c r="A20" s="19" t="s">
        <v>482</v>
      </c>
      <c r="B20" s="19" t="s">
        <v>483</v>
      </c>
      <c r="C20" s="19" t="s">
        <v>484</v>
      </c>
      <c r="D20" s="19" t="s">
        <v>485</v>
      </c>
      <c r="E20" s="19" t="s">
        <v>486</v>
      </c>
      <c r="F20" s="19" t="s">
        <v>487</v>
      </c>
      <c r="G20" s="19" t="s">
        <v>488</v>
      </c>
      <c r="H20" s="19" t="s">
        <v>374</v>
      </c>
      <c r="I20" s="19" t="s">
        <v>489</v>
      </c>
    </row>
    <row r="21" customFormat="false" ht="15" hidden="false" customHeight="false" outlineLevel="0" collapsed="false">
      <c r="A21" s="19" t="s">
        <v>490</v>
      </c>
      <c r="B21" s="19" t="s">
        <v>491</v>
      </c>
      <c r="C21" s="19" t="s">
        <v>336</v>
      </c>
      <c r="D21" s="19" t="s">
        <v>492</v>
      </c>
      <c r="E21" s="19" t="s">
        <v>493</v>
      </c>
      <c r="F21" s="19" t="s">
        <v>494</v>
      </c>
      <c r="G21" s="19" t="s">
        <v>456</v>
      </c>
      <c r="H21" s="19" t="s">
        <v>495</v>
      </c>
      <c r="I21" s="19" t="s">
        <v>496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4"/>
    <col collapsed="false" customWidth="true" hidden="false" outlineLevel="0" max="3" min="3" style="0" width="12"/>
    <col collapsed="false" customWidth="true" hidden="false" outlineLevel="0" max="4" min="4" style="0" width="34"/>
    <col collapsed="false" customWidth="true" hidden="false" outlineLevel="0" max="5" min="5" style="0" width="24"/>
    <col collapsed="false" customWidth="true" hidden="false" outlineLevel="0" max="6" min="6" style="0" width="20"/>
    <col collapsed="false" customWidth="true" hidden="false" outlineLevel="0" max="7" min="7" style="0" width="11"/>
    <col collapsed="false" customWidth="true" hidden="false" outlineLevel="0" max="9" min="8" style="0" width="12"/>
    <col collapsed="false" customWidth="true" hidden="false" outlineLevel="0" max="10" min="10" style="0" width="14"/>
  </cols>
  <sheetData>
    <row r="1" customFormat="false" ht="15" hidden="false" customHeight="false" outlineLevel="0" collapsed="false">
      <c r="A1" s="3" t="s">
        <v>22</v>
      </c>
      <c r="B1" s="3" t="s">
        <v>497</v>
      </c>
      <c r="C1" s="3" t="s">
        <v>498</v>
      </c>
      <c r="D1" s="3" t="s">
        <v>499</v>
      </c>
      <c r="E1" s="3" t="s">
        <v>500</v>
      </c>
      <c r="F1" s="3" t="s">
        <v>108</v>
      </c>
      <c r="G1" s="3" t="s">
        <v>501</v>
      </c>
      <c r="H1" s="3" t="s">
        <v>502</v>
      </c>
      <c r="I1" s="3" t="s">
        <v>503</v>
      </c>
      <c r="J1" s="3" t="s">
        <v>504</v>
      </c>
    </row>
    <row r="2" customFormat="false" ht="23.85" hidden="false" customHeight="false" outlineLevel="0" collapsed="false">
      <c r="A2" s="19" t="s">
        <v>505</v>
      </c>
      <c r="B2" s="19" t="s">
        <v>506</v>
      </c>
      <c r="C2" s="19" t="s">
        <v>507</v>
      </c>
      <c r="D2" s="19" t="s">
        <v>508</v>
      </c>
      <c r="E2" s="19" t="s">
        <v>509</v>
      </c>
      <c r="F2" s="19" t="s">
        <v>129</v>
      </c>
      <c r="G2" s="19" t="s">
        <v>510</v>
      </c>
      <c r="H2" s="19" t="s">
        <v>511</v>
      </c>
      <c r="I2" s="19" t="s">
        <v>512</v>
      </c>
      <c r="J2" s="19" t="s">
        <v>513</v>
      </c>
    </row>
    <row r="3" customFormat="false" ht="15" hidden="false" customHeight="false" outlineLevel="0" collapsed="false">
      <c r="A3" s="19" t="s">
        <v>514</v>
      </c>
      <c r="B3" s="19" t="s">
        <v>515</v>
      </c>
      <c r="C3" s="19" t="s">
        <v>516</v>
      </c>
      <c r="D3" s="19" t="s">
        <v>517</v>
      </c>
      <c r="E3" s="19" t="s">
        <v>518</v>
      </c>
      <c r="F3" s="19" t="s">
        <v>129</v>
      </c>
      <c r="G3" s="19" t="s">
        <v>519</v>
      </c>
      <c r="H3" s="19" t="s">
        <v>520</v>
      </c>
      <c r="I3" s="19" t="s">
        <v>521</v>
      </c>
      <c r="J3" s="19" t="s">
        <v>522</v>
      </c>
    </row>
    <row r="4" customFormat="false" ht="23.85" hidden="false" customHeight="false" outlineLevel="0" collapsed="false">
      <c r="A4" s="19" t="s">
        <v>523</v>
      </c>
      <c r="B4" s="19" t="s">
        <v>524</v>
      </c>
      <c r="C4" s="19" t="s">
        <v>525</v>
      </c>
      <c r="D4" s="19" t="s">
        <v>526</v>
      </c>
      <c r="E4" s="19" t="s">
        <v>527</v>
      </c>
      <c r="F4" s="19" t="s">
        <v>240</v>
      </c>
      <c r="G4" s="19" t="s">
        <v>510</v>
      </c>
      <c r="H4" s="19" t="s">
        <v>528</v>
      </c>
      <c r="I4" s="19" t="s">
        <v>529</v>
      </c>
      <c r="J4" s="19" t="s">
        <v>530</v>
      </c>
    </row>
    <row r="5" customFormat="false" ht="23.85" hidden="false" customHeight="false" outlineLevel="0" collapsed="false">
      <c r="A5" s="19" t="s">
        <v>531</v>
      </c>
      <c r="B5" s="19" t="s">
        <v>532</v>
      </c>
      <c r="C5" s="19" t="s">
        <v>533</v>
      </c>
      <c r="D5" s="19" t="s">
        <v>534</v>
      </c>
      <c r="E5" s="19" t="s">
        <v>535</v>
      </c>
      <c r="F5" s="19" t="s">
        <v>240</v>
      </c>
      <c r="G5" s="19" t="s">
        <v>510</v>
      </c>
      <c r="H5" s="19" t="s">
        <v>536</v>
      </c>
      <c r="I5" s="19" t="s">
        <v>537</v>
      </c>
      <c r="J5" s="19" t="s">
        <v>538</v>
      </c>
    </row>
    <row r="6" customFormat="false" ht="23.85" hidden="false" customHeight="false" outlineLevel="0" collapsed="false">
      <c r="A6" s="19" t="s">
        <v>539</v>
      </c>
      <c r="B6" s="19" t="s">
        <v>540</v>
      </c>
      <c r="C6" s="19" t="s">
        <v>541</v>
      </c>
      <c r="D6" s="19" t="s">
        <v>542</v>
      </c>
      <c r="E6" s="19" t="s">
        <v>543</v>
      </c>
      <c r="F6" s="19" t="s">
        <v>141</v>
      </c>
      <c r="G6" s="19" t="s">
        <v>519</v>
      </c>
      <c r="H6" s="19" t="s">
        <v>511</v>
      </c>
      <c r="I6" s="19" t="s">
        <v>512</v>
      </c>
      <c r="J6" s="19" t="s">
        <v>544</v>
      </c>
    </row>
    <row r="7" customFormat="false" ht="15" hidden="false" customHeight="false" outlineLevel="0" collapsed="false">
      <c r="A7" s="19" t="s">
        <v>545</v>
      </c>
      <c r="B7" s="19" t="s">
        <v>546</v>
      </c>
      <c r="C7" s="19" t="s">
        <v>547</v>
      </c>
      <c r="D7" s="19" t="s">
        <v>548</v>
      </c>
      <c r="E7" s="19" t="s">
        <v>549</v>
      </c>
      <c r="F7" s="19" t="s">
        <v>129</v>
      </c>
      <c r="G7" s="19" t="s">
        <v>510</v>
      </c>
      <c r="H7" s="19" t="s">
        <v>550</v>
      </c>
      <c r="I7" s="19" t="s">
        <v>512</v>
      </c>
      <c r="J7" s="19" t="s">
        <v>529</v>
      </c>
    </row>
    <row r="8" customFormat="false" ht="23.85" hidden="false" customHeight="false" outlineLevel="0" collapsed="false">
      <c r="A8" s="19" t="s">
        <v>551</v>
      </c>
      <c r="B8" s="19" t="s">
        <v>552</v>
      </c>
      <c r="C8" s="19" t="s">
        <v>553</v>
      </c>
      <c r="D8" s="19" t="s">
        <v>554</v>
      </c>
      <c r="E8" s="19" t="s">
        <v>555</v>
      </c>
      <c r="F8" s="19" t="s">
        <v>129</v>
      </c>
      <c r="G8" s="19" t="s">
        <v>510</v>
      </c>
      <c r="H8" s="19" t="s">
        <v>556</v>
      </c>
      <c r="I8" s="19" t="s">
        <v>557</v>
      </c>
      <c r="J8" s="19" t="s">
        <v>558</v>
      </c>
    </row>
    <row r="9" customFormat="false" ht="23.85" hidden="false" customHeight="false" outlineLevel="0" collapsed="false">
      <c r="A9" s="19" t="s">
        <v>559</v>
      </c>
      <c r="B9" s="19" t="s">
        <v>560</v>
      </c>
      <c r="C9" s="19" t="s">
        <v>85</v>
      </c>
      <c r="D9" s="19" t="s">
        <v>561</v>
      </c>
      <c r="E9" s="19" t="s">
        <v>562</v>
      </c>
      <c r="F9" s="19" t="s">
        <v>240</v>
      </c>
      <c r="G9" s="19" t="s">
        <v>563</v>
      </c>
      <c r="H9" s="19" t="s">
        <v>536</v>
      </c>
      <c r="I9" s="19" t="s">
        <v>537</v>
      </c>
      <c r="J9" s="19" t="s">
        <v>564</v>
      </c>
    </row>
    <row r="10" customFormat="false" ht="23.85" hidden="false" customHeight="false" outlineLevel="0" collapsed="false">
      <c r="A10" s="19" t="s">
        <v>565</v>
      </c>
      <c r="B10" s="19" t="s">
        <v>566</v>
      </c>
      <c r="C10" s="19" t="s">
        <v>567</v>
      </c>
      <c r="D10" s="19" t="s">
        <v>568</v>
      </c>
      <c r="E10" s="19" t="s">
        <v>569</v>
      </c>
      <c r="F10" s="19" t="s">
        <v>278</v>
      </c>
      <c r="G10" s="19" t="s">
        <v>519</v>
      </c>
      <c r="H10" s="19" t="s">
        <v>511</v>
      </c>
      <c r="I10" s="19" t="s">
        <v>512</v>
      </c>
      <c r="J10" s="19" t="s">
        <v>513</v>
      </c>
    </row>
    <row r="11" customFormat="false" ht="23.85" hidden="false" customHeight="false" outlineLevel="0" collapsed="false">
      <c r="A11" s="19" t="s">
        <v>570</v>
      </c>
      <c r="B11" s="19" t="s">
        <v>571</v>
      </c>
      <c r="C11" s="19" t="s">
        <v>94</v>
      </c>
      <c r="D11" s="19" t="s">
        <v>572</v>
      </c>
      <c r="E11" s="19" t="s">
        <v>573</v>
      </c>
      <c r="F11" s="19" t="s">
        <v>574</v>
      </c>
      <c r="G11" s="19" t="s">
        <v>519</v>
      </c>
      <c r="H11" s="19" t="s">
        <v>511</v>
      </c>
      <c r="I11" s="19" t="s">
        <v>529</v>
      </c>
      <c r="J11" s="19" t="s">
        <v>575</v>
      </c>
    </row>
    <row r="12" customFormat="false" ht="23.85" hidden="false" customHeight="false" outlineLevel="0" collapsed="false">
      <c r="A12" s="19" t="s">
        <v>576</v>
      </c>
      <c r="B12" s="19" t="s">
        <v>577</v>
      </c>
      <c r="C12" s="19" t="s">
        <v>100</v>
      </c>
      <c r="D12" s="19" t="s">
        <v>578</v>
      </c>
      <c r="E12" s="19" t="s">
        <v>579</v>
      </c>
      <c r="F12" s="19" t="s">
        <v>580</v>
      </c>
      <c r="G12" s="19" t="s">
        <v>519</v>
      </c>
      <c r="H12" s="19" t="s">
        <v>511</v>
      </c>
      <c r="I12" s="19" t="s">
        <v>529</v>
      </c>
      <c r="J12" s="19" t="s">
        <v>575</v>
      </c>
    </row>
    <row r="13" customFormat="false" ht="23.85" hidden="false" customHeight="false" outlineLevel="0" collapsed="false">
      <c r="A13" s="19" t="s">
        <v>581</v>
      </c>
      <c r="B13" s="19" t="s">
        <v>582</v>
      </c>
      <c r="C13" s="19" t="s">
        <v>547</v>
      </c>
      <c r="D13" s="19" t="s">
        <v>583</v>
      </c>
      <c r="E13" s="19" t="s">
        <v>584</v>
      </c>
      <c r="F13" s="19" t="s">
        <v>585</v>
      </c>
      <c r="G13" s="19" t="s">
        <v>586</v>
      </c>
      <c r="H13" s="19" t="s">
        <v>587</v>
      </c>
      <c r="I13" s="19" t="s">
        <v>588</v>
      </c>
      <c r="J13" s="19" t="s">
        <v>589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60"/>
    <col collapsed="false" customWidth="true" hidden="false" outlineLevel="0" max="3" min="3" style="0" width="30"/>
    <col collapsed="false" customWidth="true" hidden="false" outlineLevel="0" max="4" min="4" style="0" width="100"/>
  </cols>
  <sheetData>
    <row r="1" customFormat="false" ht="15" hidden="false" customHeight="false" outlineLevel="0" collapsed="false">
      <c r="A1" s="3" t="s">
        <v>22</v>
      </c>
      <c r="B1" s="3" t="s">
        <v>590</v>
      </c>
      <c r="C1" s="3" t="s">
        <v>591</v>
      </c>
      <c r="D1" s="3" t="s">
        <v>592</v>
      </c>
    </row>
    <row r="2" customFormat="false" ht="23.85" hidden="false" customHeight="false" outlineLevel="0" collapsed="false">
      <c r="A2" s="19" t="s">
        <v>593</v>
      </c>
      <c r="B2" s="19" t="s">
        <v>594</v>
      </c>
      <c r="C2" s="19" t="s">
        <v>595</v>
      </c>
      <c r="D2" s="19" t="s">
        <v>596</v>
      </c>
    </row>
    <row r="3" customFormat="false" ht="35.05" hidden="false" customHeight="false" outlineLevel="0" collapsed="false">
      <c r="A3" s="19" t="s">
        <v>597</v>
      </c>
      <c r="B3" s="19" t="s">
        <v>598</v>
      </c>
      <c r="C3" s="19" t="s">
        <v>595</v>
      </c>
      <c r="D3" s="19" t="s">
        <v>599</v>
      </c>
    </row>
    <row r="4" customFormat="false" ht="23.85" hidden="false" customHeight="false" outlineLevel="0" collapsed="false">
      <c r="A4" s="19" t="s">
        <v>600</v>
      </c>
      <c r="B4" s="19" t="s">
        <v>601</v>
      </c>
      <c r="C4" s="19" t="s">
        <v>595</v>
      </c>
      <c r="D4" s="19" t="s">
        <v>602</v>
      </c>
    </row>
    <row r="5" customFormat="false" ht="23.85" hidden="false" customHeight="false" outlineLevel="0" collapsed="false">
      <c r="A5" s="19" t="s">
        <v>603</v>
      </c>
      <c r="B5" s="19" t="s">
        <v>604</v>
      </c>
      <c r="C5" s="19" t="s">
        <v>595</v>
      </c>
      <c r="D5" s="19" t="s">
        <v>605</v>
      </c>
    </row>
    <row r="6" customFormat="false" ht="23.85" hidden="false" customHeight="false" outlineLevel="0" collapsed="false">
      <c r="A6" s="19" t="s">
        <v>606</v>
      </c>
      <c r="B6" s="19" t="s">
        <v>607</v>
      </c>
      <c r="C6" s="19" t="s">
        <v>595</v>
      </c>
      <c r="D6" s="19" t="s">
        <v>608</v>
      </c>
    </row>
    <row r="7" customFormat="false" ht="35.05" hidden="false" customHeight="false" outlineLevel="0" collapsed="false">
      <c r="A7" s="19" t="s">
        <v>609</v>
      </c>
      <c r="B7" s="19" t="s">
        <v>610</v>
      </c>
      <c r="C7" s="19" t="s">
        <v>611</v>
      </c>
      <c r="D7" s="19" t="s">
        <v>612</v>
      </c>
    </row>
    <row r="8" customFormat="false" ht="23.85" hidden="false" customHeight="false" outlineLevel="0" collapsed="false">
      <c r="A8" s="19" t="s">
        <v>613</v>
      </c>
      <c r="B8" s="19" t="s">
        <v>614</v>
      </c>
      <c r="C8" s="19" t="s">
        <v>595</v>
      </c>
      <c r="D8" s="19" t="s">
        <v>615</v>
      </c>
    </row>
    <row r="9" customFormat="false" ht="15" hidden="false" customHeight="false" outlineLevel="0" collapsed="false">
      <c r="A9" s="19" t="s">
        <v>616</v>
      </c>
      <c r="B9" s="19" t="s">
        <v>617</v>
      </c>
      <c r="C9" s="19" t="s">
        <v>595</v>
      </c>
      <c r="D9" s="19" t="s">
        <v>618</v>
      </c>
    </row>
    <row r="10" customFormat="false" ht="23.85" hidden="false" customHeight="false" outlineLevel="0" collapsed="false">
      <c r="A10" s="19" t="s">
        <v>619</v>
      </c>
      <c r="B10" s="19" t="s">
        <v>620</v>
      </c>
      <c r="C10" s="19" t="s">
        <v>621</v>
      </c>
      <c r="D10" s="19" t="s">
        <v>622</v>
      </c>
    </row>
    <row r="11" customFormat="false" ht="15" hidden="false" customHeight="false" outlineLevel="0" collapsed="false">
      <c r="A11" s="19" t="s">
        <v>623</v>
      </c>
      <c r="B11" s="19" t="s">
        <v>624</v>
      </c>
      <c r="C11" s="19" t="s">
        <v>625</v>
      </c>
      <c r="D11" s="19" t="s">
        <v>626</v>
      </c>
    </row>
    <row r="12" customFormat="false" ht="15" hidden="false" customHeight="false" outlineLevel="0" collapsed="false">
      <c r="A12" s="19" t="s">
        <v>627</v>
      </c>
      <c r="B12" s="19" t="s">
        <v>628</v>
      </c>
      <c r="C12" s="19" t="s">
        <v>625</v>
      </c>
      <c r="D12" s="19" t="s">
        <v>629</v>
      </c>
    </row>
    <row r="13" customFormat="false" ht="15" hidden="false" customHeight="false" outlineLevel="0" collapsed="false">
      <c r="A13" s="19" t="s">
        <v>630</v>
      </c>
      <c r="B13" s="19" t="s">
        <v>631</v>
      </c>
      <c r="C13" s="19" t="s">
        <v>632</v>
      </c>
      <c r="D13" s="19" t="s">
        <v>633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2026-10-23T16:25:13Z</dcterms:created>
  <dc:creator>openpyxl</dc:creator>
  <dc:description/>
  <dc:language>en-US</dc:language>
  <cp:lastModifiedBy/>
  <dcterms:modified xsi:type="dcterms:W3CDTF">2026-10-23T16:25:13Z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