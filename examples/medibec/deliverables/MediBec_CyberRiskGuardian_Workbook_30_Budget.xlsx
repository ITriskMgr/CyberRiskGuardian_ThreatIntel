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Analyse" sheetId="2" state="visible" r:id="rId4"/>
    <sheet name="Parameters" sheetId="3" state="visible" r:id="rId5"/>
    <sheet name="Inputs" sheetId="4" state="visible" r:id="rId6"/>
    <sheet name="Portfolio" sheetId="5" state="visible" r:id="rId7"/>
    <sheet name="Sensitivity" sheetId="6" state="visible" r:id="rId8"/>
    <sheet name="Case_View" sheetId="7" state="visible" r:id="rId9"/>
    <sheet name="Scenarios" sheetId="8" state="visible" r:id="rId10"/>
    <sheet name="Candidates" sheetId="9" state="visible" r:id="rId11"/>
    <sheet name="KRIs" sheetId="10" state="visible" r:id="rId12"/>
    <sheet name="Evidence" sheetId="11" state="visible" r:id="rId13"/>
    <sheet name="Budget_Params" sheetId="12" state="visible" r:id="rId14"/>
    <sheet name="Budget_Lines" sheetId="13" state="visible" r:id="rId15"/>
    <sheet name="Budget_Summary" sheetId="14" state="visible" r:id="rId16"/>
    <sheet name="Budget_Risk" sheetId="15" state="visible" r:id="rId17"/>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sz val="10"/>
            <rFont val="Arial"/>
            <family val="2"/>
          </rPr>
          <t xml:space="preserve">Phishing is constant and attempts are increasing; lures already observed. Evidence: E4,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5" authorId="0">
      <text>
        <r>
          <rPr>
            <sz val="10"/>
            <rFont val="Arial"/>
            <family val="2"/>
          </rPr>
          <t xml:space="preserve">Healthcare is a sustained ransomware target; attempts rising.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6" authorId="0">
      <text>
        <r>
          <rPr>
            <sz val="10"/>
            <rFont val="Arial"/>
            <family val="2"/>
          </rPr>
          <t xml:space="preserve">Conditional on an intrusion reaching administrative level (S1/S2). Evidence: E4,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7" authorId="0">
      <text>
        <r>
          <rPr>
            <sz val="10"/>
            <rFont val="Arial"/>
            <family val="2"/>
          </rPr>
          <t xml:space="preserve">Cloud storage is continuously scanned.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8" authorId="0">
      <text>
        <r>
          <rPr>
            <sz val="10"/>
            <rFont val="Arial"/>
            <family val="2"/>
          </rPr>
          <t xml:space="preserve">Insider snooping is recurrent in healthcare; service-account anomaly observed.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25</xdr:rowOff>
              </xdr:to>
            </anchor>
          </commentPr>
        </mc:Choice>
        <mc:Fallback/>
      </mc:AlternateContent>
    </comment>
    <comment ref="C9" authorId="0">
      <text>
        <r>
          <rPr>
            <sz val="10"/>
            <rFont val="Arial"/>
            <family val="2"/>
          </rPr>
          <t xml:space="preserve">Edge-device exploitation campaigns are frequent.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10" authorId="0">
      <text>
        <r>
          <rPr>
            <sz val="10"/>
            <rFont val="Arial"/>
            <family val="2"/>
          </rPr>
          <t xml:space="preserve">Targeting of devices is less frequent than IT, but collateral infection is common.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11" authorId="0">
      <text>
        <r>
          <rPr>
            <sz val="10"/>
            <rFont val="Arial"/>
            <family val="2"/>
          </rPr>
          <t xml:space="preserve">Attempts ongoing; some will pass perimeter controls.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12" authorId="0">
      <text>
        <r>
          <rPr>
            <sz val="10"/>
            <rFont val="Arial"/>
            <family val="2"/>
          </rPr>
          <t xml:space="preserve">Supply-chain attacks on healthcare vendors are recurrent.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13" authorId="0">
      <text>
        <r>
          <rPr>
            <sz val="10"/>
            <rFont val="Arial"/>
            <family val="2"/>
          </rPr>
          <t xml:space="preserve">Integrity attacks are rarer than theft or encryption.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14" authorId="0">
      <text>
        <r>
          <rPr>
            <sz val="10"/>
            <rFont val="Arial"/>
            <family val="2"/>
          </rPr>
          <t xml:space="preserve">Secret leakage is common where development occurs; MediBec's development footprint is uncertain. Evidence: E3,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9</xdr:rowOff>
              </xdr:to>
            </anchor>
          </commentPr>
        </mc:Choice>
        <mc:Fallback/>
      </mc:AlternateContent>
    </comment>
    <comment ref="C15" authorId="0">
      <text>
        <r>
          <rPr>
            <sz val="10"/>
            <rFont val="Arial"/>
            <family val="2"/>
          </rPr>
          <t xml:space="preserve">Requires physical proximity; clinics have public waiting rooms.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16" authorId="0">
      <text>
        <r>
          <rPr>
            <sz val="10"/>
            <rFont val="Arial"/>
            <family val="2"/>
          </rPr>
          <t xml:space="preserve">DDoS campaigns against healthcare occur; MediBec profile moderate.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17" authorId="0">
      <text>
        <r>
          <rPr>
            <sz val="10"/>
            <rFont val="Arial"/>
            <family val="2"/>
          </rPr>
          <t xml:space="preserve">BEC is among the most frequent fraud types; billing staff already targeted.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18" authorId="0">
      <text>
        <r>
          <rPr>
            <sz val="10"/>
            <rFont val="Arial"/>
            <family val="2"/>
          </rPr>
          <t xml:space="preserve">Across 10 clinics, some device loss each year is near certain. Evidence: E1,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19" authorId="0">
      <text>
        <r>
          <rPr>
            <sz val="10"/>
            <rFont val="Arial"/>
            <family val="2"/>
          </rPr>
          <t xml:space="preserve">Multi-hour outages of a single hub occur over a 12-month horizon.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0" authorId="0">
      <text>
        <r>
          <rPr>
            <sz val="10"/>
            <rFont val="Arial"/>
            <family val="2"/>
          </rPr>
          <t xml:space="preserve">Local storage in 10 clinics; insiders and intruders both relevant. Evidence: E2,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21" authorId="0">
      <text>
        <r>
          <rPr>
            <sz val="10"/>
            <rFont val="Arial"/>
            <family val="2"/>
          </rPr>
          <t xml:space="preserve">Public applications are constantly probed. Evidence: E8</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2" authorId="0">
      <text>
        <r>
          <rPr>
            <sz val="10"/>
            <rFont val="Arial"/>
            <family val="2"/>
          </rPr>
          <t xml:space="preserve">Rare but high-impact events.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3" authorId="0">
      <text>
        <r>
          <rPr>
            <sz val="10"/>
            <rFont val="Arial"/>
            <family val="2"/>
          </rPr>
          <t xml:space="preserve">AiTM kits and consent phishing are widespread.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4" authorId="0">
      <text>
        <r>
          <rPr>
            <sz val="10"/>
            <rFont val="Arial"/>
            <family val="2"/>
          </rPr>
          <t xml:space="preserve">Human error is near certain across 10 clinics in 12 months.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5" authorId="0">
      <text>
        <r>
          <rPr>
            <sz val="10"/>
            <rFont val="Arial"/>
            <family val="2"/>
          </rPr>
          <t xml:space="preserve">Opportunistic; depends on telehealth volume (Information gap).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6" authorId="0">
      <text>
        <r>
          <rPr>
            <sz val="10"/>
            <rFont val="Arial"/>
            <family val="2"/>
          </rPr>
          <t xml:space="preserve">Continuous internet scanning and password attacks.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7" authorId="0">
      <text>
        <r>
          <rPr>
            <sz val="10"/>
            <rFont val="Arial"/>
            <family val="2"/>
          </rPr>
          <t xml:space="preserve">External media is imported routinely.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8" authorId="0">
      <text>
        <r>
          <rPr>
            <sz val="10"/>
            <rFont val="Arial"/>
            <family val="2"/>
          </rPr>
          <t xml:space="preserve">Disposals occur every year.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29" authorId="0">
      <text>
        <r>
          <rPr>
            <sz val="10"/>
            <rFont val="Arial"/>
            <family val="2"/>
          </rPr>
          <t xml:space="preserve">Generative-AI use among clinicians is widespread by 2026.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30" authorId="0">
      <text>
        <r>
          <rPr>
            <sz val="10"/>
            <rFont val="Arial"/>
            <family val="2"/>
          </rPr>
          <t xml:space="preserve">Help-desk social engineering is an active technique against healthcare.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C31" authorId="0">
      <text>
        <r>
          <rPr>
            <sz val="10"/>
            <rFont val="Arial"/>
            <family val="2"/>
          </rPr>
          <t xml:space="preserve">Malicious privileged insiders are rare.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32" authorId="0">
      <text>
        <r>
          <rPr>
            <sz val="10"/>
            <rFont val="Arial"/>
            <family val="2"/>
          </rPr>
          <t xml:space="preserve">Requires internal position and intent.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C33" authorId="0">
      <text>
        <r>
          <rPr>
            <sz val="10"/>
            <rFont val="Arial"/>
            <family val="2"/>
          </rPr>
          <t xml:space="preserve">Look-alike domain already observed in the exercise.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4" authorId="0">
      <text>
        <r>
          <rPr>
            <sz val="10"/>
            <rFont val="Arial"/>
            <family val="2"/>
          </rPr>
          <t xml:space="preserve">Push MFA is bypassable by fatigue; no conditional access or macro blocking evidenced.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25</xdr:rowOff>
              </xdr:to>
            </anchor>
          </commentPr>
        </mc:Choice>
        <mc:Fallback/>
      </mc:AlternateContent>
    </comment>
    <comment ref="D5" authorId="0">
      <text>
        <r>
          <rPr>
            <sz val="10"/>
            <rFont val="Arial"/>
            <family val="2"/>
          </rPr>
          <t xml:space="preserve">Multiple weak links (triage, segmentation, backup isolation) but perimeter controls exist. Evidence: E2,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25</xdr:rowOff>
              </xdr:to>
            </anchor>
          </commentPr>
        </mc:Choice>
        <mc:Fallback/>
      </mc:AlternateContent>
    </comment>
    <comment ref="D6" authorId="0">
      <text>
        <r>
          <rPr>
            <sz val="10"/>
            <rFont val="Arial"/>
            <family val="2"/>
          </rPr>
          <t xml:space="preserve">Isolation unknown; failures in E6 suggest exposure. Evidence: E2,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7" authorId="0">
      <text>
        <r>
          <rPr>
            <sz val="10"/>
            <rFont val="Arial"/>
            <family val="2"/>
          </rPr>
          <t xml:space="preserve">Depends on sharing configuration - unknown; E6 suggests weakness.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D8" authorId="0">
      <text>
        <r>
          <rPr>
            <sz val="10"/>
            <rFont val="Arial"/>
            <family val="2"/>
          </rPr>
          <t xml:space="preserve">Legitimate access bypasses perimeter controls; no analytics. Evidence: E6,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9" authorId="0">
      <text>
        <r>
          <rPr>
            <sz val="10"/>
            <rFont val="Arial"/>
            <family val="2"/>
          </rPr>
          <t xml:space="preserve">Patching lag documented; inventory incomplete. Evidence: E3,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0" authorId="0">
      <text>
        <r>
          <rPr>
            <sz val="10"/>
            <rFont val="Arial"/>
            <family val="2"/>
          </rPr>
          <t xml:space="preserve">Patch and segmentation constraints documented. Evidence: E3,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10</xdr:rowOff>
              </xdr:to>
            </anchor>
          </commentPr>
        </mc:Choice>
        <mc:Fallback/>
      </mc:AlternateContent>
    </comment>
    <comment ref="D11" authorId="0">
      <text>
        <r>
          <rPr>
            <sz val="10"/>
            <rFont val="Arial"/>
            <family val="2"/>
          </rPr>
          <t xml:space="preserve">Evidence of mis-triaged alerts and uncorrelated signals.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2" authorId="0">
      <text>
        <r>
          <rPr>
            <sz val="10"/>
            <rFont val="Arial"/>
            <family val="2"/>
          </rPr>
          <t xml:space="preserve">Controls over vendor access not evidenced.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3" authorId="0">
      <text>
        <r>
          <rPr>
            <sz val="10"/>
            <rFont val="Arial"/>
            <family val="2"/>
          </rPr>
          <t xml:space="preserve">Requires write access; monitoring absent. Evidence: E8</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4" authorId="0">
      <text>
        <r>
          <rPr>
            <sz val="10"/>
            <rFont val="Arial"/>
            <family val="2"/>
          </rPr>
          <t xml:space="preserve">No vault, scanning or rotation evidenced.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5" authorId="0">
      <text>
        <r>
          <rPr>
            <sz val="10"/>
            <rFont val="Arial"/>
            <family val="2"/>
          </rPr>
          <t xml:space="preserve">Wireless controls unknown.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6" authorId="0">
      <text>
        <r>
          <rPr>
            <sz val="10"/>
            <rFont val="Arial"/>
            <family val="2"/>
          </rPr>
          <t xml:space="preserve">No mitigation evidenced.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7" authorId="0">
      <text>
        <r>
          <rPr>
            <sz val="10"/>
            <rFont val="Arial"/>
            <family val="2"/>
          </rPr>
          <t xml:space="preserve">Verification procedures unknown.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8" authorId="0">
      <text>
        <r>
          <rPr>
            <sz val="10"/>
            <rFont val="Arial"/>
            <family val="2"/>
          </rPr>
          <t xml:space="preserve">Some protection may exist but is not evidenced.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19" authorId="0">
      <text>
        <r>
          <rPr>
            <sz val="10"/>
            <rFont val="Arial"/>
            <family val="2"/>
          </rPr>
          <t xml:space="preserve">Redundancy not evidenced.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0" authorId="0">
      <text>
        <r>
          <rPr>
            <sz val="10"/>
            <rFont val="Arial"/>
            <family val="2"/>
          </rPr>
          <t xml:space="preserve">Access controls and inventory unknown.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1" authorId="0">
      <text>
        <r>
          <rPr>
            <sz val="10"/>
            <rFont val="Arial"/>
            <family val="2"/>
          </rPr>
          <t xml:space="preserve">Flaw presence unknown; no testing evidence.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2" authorId="0">
      <text>
        <r>
          <rPr>
            <sz val="10"/>
            <rFont val="Arial"/>
            <family val="2"/>
          </rPr>
          <t xml:space="preserve">Signed updates bypass most customer controls.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3" authorId="0">
      <text>
        <r>
          <rPr>
            <sz val="10"/>
            <rFont val="Arial"/>
            <family val="2"/>
          </rPr>
          <t xml:space="preserve">Push MFA and no conditional access.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4" authorId="0">
      <text>
        <r>
          <rPr>
            <sz val="10"/>
            <rFont val="Arial"/>
            <family val="2"/>
          </rPr>
          <t xml:space="preserve">Few technical safeguards evidenced.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5" authorId="0">
      <text>
        <r>
          <rPr>
            <sz val="10"/>
            <rFont val="Arial"/>
            <family val="2"/>
          </rPr>
          <t xml:space="preserve">Configuration unknown.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6" authorId="0">
      <text>
        <r>
          <rPr>
            <sz val="10"/>
            <rFont val="Arial"/>
            <family val="2"/>
          </rPr>
          <t xml:space="preserve">Depends on actual exposure - unknown.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7" authorId="0">
      <text>
        <r>
          <rPr>
            <sz val="10"/>
            <rFont val="Arial"/>
            <family val="2"/>
          </rPr>
          <t xml:space="preserve">Endpoint coverage of device consoles unknown.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8" authorId="0">
      <text>
        <r>
          <rPr>
            <sz val="10"/>
            <rFont val="Arial"/>
            <family val="2"/>
          </rPr>
          <t xml:space="preserve">Sanitization practice unknown.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29" authorId="0">
      <text>
        <r>
          <rPr>
            <sz val="10"/>
            <rFont val="Arial"/>
            <family val="2"/>
          </rPr>
          <t xml:space="preserve">No policy or technical controls evidenced.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30" authorId="0">
      <text>
        <r>
          <rPr>
            <sz val="10"/>
            <rFont val="Arial"/>
            <family val="2"/>
          </rPr>
          <t xml:space="preserve">Verification procedures unknown.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31" authorId="0">
      <text>
        <r>
          <rPr>
            <sz val="10"/>
            <rFont val="Arial"/>
            <family val="2"/>
          </rPr>
          <t xml:space="preserve">If motivated, broad privileges make success likely. Evidence: E3,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32" authorId="0">
      <text>
        <r>
          <rPr>
            <sz val="10"/>
            <rFont val="Arial"/>
            <family val="2"/>
          </rPr>
          <t xml:space="preserve">Cleartext likely; exploitation requires skill.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D33" authorId="0">
      <text>
        <r>
          <rPr>
            <sz val="10"/>
            <rFont val="Arial"/>
            <family val="2"/>
          </rPr>
          <t xml:space="preserve">No brand protection evidenced.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4" authorId="0">
      <text>
        <r>
          <rPr>
            <sz val="10"/>
            <rFont val="Arial"/>
            <family val="2"/>
          </rPr>
          <t xml:space="preserve">Access to a subset of records; containment possible if detected. Evidence: E1,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5" authorId="0">
      <text>
        <r>
          <rPr>
            <sz val="10"/>
            <rFont val="Arial"/>
            <family val="2"/>
          </rPr>
          <t xml:space="preserve">Multi-day disruption of several clinics. Evidence: E1,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6" authorId="0">
      <text>
        <r>
          <rPr>
            <sz val="10"/>
            <rFont val="Arial"/>
            <family val="2"/>
          </rPr>
          <t xml:space="preserve">Partial loss of recent restore points.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7" authorId="0">
      <text>
        <r>
          <rPr>
            <sz val="10"/>
            <rFont val="Arial"/>
            <family val="2"/>
          </rPr>
          <t xml:space="preserve">Partial data set exposed.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8" authorId="0">
      <text>
        <r>
          <rPr>
            <sz val="10"/>
            <rFont val="Arial"/>
            <family val="2"/>
          </rPr>
          <t xml:space="preserve">Limited set of records.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9" authorId="0">
      <text>
        <r>
          <rPr>
            <sz val="10"/>
            <rFont val="Arial"/>
            <family val="2"/>
          </rPr>
          <t xml:space="preserve">Foothold with some data access.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0" authorId="0">
      <text>
        <r>
          <rPr>
            <sz val="10"/>
            <rFont val="Arial"/>
            <family val="2"/>
          </rPr>
          <t xml:space="preserve">Some devices unavailable at one clinic.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1" authorId="0">
      <text>
        <r>
          <rPr>
            <sz val="10"/>
            <rFont val="Arial"/>
            <family val="2"/>
          </rPr>
          <t xml:space="preserve">Incident escalates before containment.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2" authorId="0">
      <text>
        <r>
          <rPr>
            <sz val="10"/>
            <rFont val="Arial"/>
            <family val="2"/>
          </rPr>
          <t xml:space="preserve">Breach through one vendor path.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3" authorId="0">
      <text>
        <r>
          <rPr>
            <sz val="10"/>
            <rFont val="Arial"/>
            <family val="2"/>
          </rPr>
          <t xml:space="preserve">Limited record set altered and detected.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4" authorId="0">
      <text>
        <r>
          <rPr>
            <sz val="10"/>
            <rFont val="Arial"/>
            <family val="2"/>
          </rPr>
          <t xml:space="preserve">Data reachable by one key.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5" authorId="0">
      <text>
        <r>
          <rPr>
            <sz val="10"/>
            <rFont val="Arial"/>
            <family val="2"/>
          </rPr>
          <t xml:space="preserve">Access limited to one clinic.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6" authorId="0">
      <text>
        <r>
          <rPr>
            <sz val="10"/>
            <rFont val="Arial"/>
            <family val="2"/>
          </rPr>
          <t xml:space="preserve">Hours of online unavailability. Evidence: E8</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7" authorId="0">
      <text>
        <r>
          <rPr>
            <sz val="10"/>
            <rFont val="Arial"/>
            <family val="2"/>
          </rPr>
          <t xml:space="preserve">One diverted payment.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8" authorId="0">
      <text>
        <r>
          <rPr>
            <sz val="10"/>
            <rFont val="Arial"/>
            <family val="2"/>
          </rPr>
          <t xml:space="preserve">Small number of records.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19" authorId="0">
      <text>
        <r>
          <rPr>
            <sz val="10"/>
            <rFont val="Arial"/>
            <family val="2"/>
          </rPr>
          <t xml:space="preserve">Hours of network-wide outage.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0" authorId="0">
      <text>
        <r>
          <rPr>
            <sz val="10"/>
            <rFont val="Arial"/>
            <family val="2"/>
          </rPr>
          <t xml:space="preserve">One clinic's local data.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1" authorId="0">
      <text>
        <r>
          <rPr>
            <sz val="10"/>
            <rFont val="Arial"/>
            <family val="2"/>
          </rPr>
          <t xml:space="preserve">Partial enumeration before detection. Evidence: E8</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2" authorId="0">
      <text>
        <r>
          <rPr>
            <sz val="10"/>
            <rFont val="Arial"/>
            <family val="2"/>
          </rPr>
          <t xml:space="preserve">Foothold on many hosts.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3" authorId="0">
      <text>
        <r>
          <rPr>
            <sz val="10"/>
            <rFont val="Arial"/>
            <family val="2"/>
          </rPr>
          <t xml:space="preserve">Partial tenant data access.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4" authorId="0">
      <text>
        <r>
          <rPr>
            <sz val="10"/>
            <rFont val="Arial"/>
            <family val="2"/>
          </rPr>
          <t xml:space="preserve">Single patient or small batch.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5" authorId="0">
      <text>
        <r>
          <rPr>
            <sz val="10"/>
            <rFont val="Arial"/>
            <family val="2"/>
          </rPr>
          <t xml:space="preserve">Individual consultations.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6" authorId="0">
      <text>
        <r>
          <rPr>
            <sz val="10"/>
            <rFont val="Arial"/>
            <family val="2"/>
          </rPr>
          <t xml:space="preserve">Control of one infrastructure component.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7" authorId="0">
      <text>
        <r>
          <rPr>
            <sz val="10"/>
            <rFont val="Arial"/>
            <family val="2"/>
          </rPr>
          <t xml:space="preserve">One imaging area disrupted.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8" authorId="0">
      <text>
        <r>
          <rPr>
            <sz val="10"/>
            <rFont val="Arial"/>
            <family val="2"/>
          </rPr>
          <t xml:space="preserve">One device's data.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29" authorId="0">
      <text>
        <r>
          <rPr>
            <sz val="10"/>
            <rFont val="Arial"/>
            <family val="2"/>
          </rPr>
          <t xml:space="preserve">Limited volume, low misuse likelihood.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30" authorId="0">
      <text>
        <r>
          <rPr>
            <sz val="10"/>
            <rFont val="Arial"/>
            <family val="2"/>
          </rPr>
          <t xml:space="preserve">One account's reach.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31" authorId="0">
      <text>
        <r>
          <rPr>
            <sz val="10"/>
            <rFont val="Arial"/>
            <family val="2"/>
          </rPr>
          <t xml:space="preserve">Several systems destroyed.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32" authorId="0">
      <text>
        <r>
          <rPr>
            <sz val="10"/>
            <rFont val="Arial"/>
            <family val="2"/>
          </rPr>
          <t xml:space="preserve">Some results exposed.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E33" authorId="0">
      <text>
        <r>
          <rPr>
            <sz val="10"/>
            <rFont val="Arial"/>
            <family val="2"/>
          </rPr>
          <t xml:space="preserve">Some patients defrauded.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4" authorId="0">
      <text>
        <r>
          <rPr>
            <sz val="10"/>
            <rFont val="Arial"/>
            <family val="2"/>
          </rPr>
          <t xml:space="preserve">Full EHR access or pivot to ransomware.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5" authorId="0">
      <text>
        <r>
          <rPr>
            <sz val="10"/>
            <rFont val="Arial"/>
            <family val="2"/>
          </rPr>
          <t xml:space="preserve">Network-wide outage with data theft and failed recovery.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6" authorId="0">
      <text>
        <r>
          <rPr>
            <sz val="10"/>
            <rFont val="Arial"/>
            <family val="2"/>
          </rPr>
          <t xml:space="preserve">No usable backup for EHR.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7" authorId="0">
      <text>
        <r>
          <rPr>
            <sz val="10"/>
            <rFont val="Arial"/>
            <family val="2"/>
          </rPr>
          <t xml:space="preserve">Entire export history exposed.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8" authorId="0">
      <text>
        <r>
          <rPr>
            <sz val="10"/>
            <rFont val="Arial"/>
            <family val="2"/>
          </rPr>
          <t xml:space="preserve">Bulk extraction through the service account.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9" authorId="0">
      <text>
        <r>
          <rPr>
            <sz val="10"/>
            <rFont val="Arial"/>
            <family val="2"/>
          </rPr>
          <t xml:space="preserve">Precursor to network-wide ransomware.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0" authorId="0">
      <text>
        <r>
          <rPr>
            <sz val="10"/>
            <rFont val="Arial"/>
            <family val="2"/>
          </rPr>
          <t xml:space="preserve">Patient harm from altered or unavailable equipment.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1" authorId="0">
      <text>
        <r>
          <rPr>
            <sz val="10"/>
            <rFont val="Arial"/>
            <family val="2"/>
          </rPr>
          <t xml:space="preserve">Full ransomware and breach scenario.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2" authorId="0">
      <text>
        <r>
          <rPr>
            <sz val="10"/>
            <rFont val="Arial"/>
            <family val="2"/>
          </rPr>
          <t xml:space="preserve">EHR vendor compromise affecting all clinics.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3" authorId="0">
      <text>
        <r>
          <rPr>
            <sz val="10"/>
            <rFont val="Arial"/>
            <family val="2"/>
          </rPr>
          <t xml:space="preserve">Patient harm from undetected alteration.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4" authorId="0">
      <text>
        <r>
          <rPr>
            <sz val="10"/>
            <rFont val="Arial"/>
            <family val="2"/>
          </rPr>
          <t xml:space="preserve">Key with broad EHR or storage scope.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5" authorId="0">
      <text>
        <r>
          <rPr>
            <sz val="10"/>
            <rFont val="Arial"/>
            <family val="2"/>
          </rPr>
          <t xml:space="preserve">Foothold leading to network-wide compromise.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6" authorId="0">
      <text>
        <r>
          <rPr>
            <sz val="10"/>
            <rFont val="Arial"/>
            <family val="2"/>
          </rPr>
          <t xml:space="preserve">Multi-day disruption including cloud access.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7" authorId="0">
      <text>
        <r>
          <rPr>
            <sz val="10"/>
            <rFont val="Arial"/>
            <family val="2"/>
          </rPr>
          <t xml:space="preserve">Several large payments diverted.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8" authorId="0">
      <text>
        <r>
          <rPr>
            <sz val="10"/>
            <rFont val="Arial"/>
            <family val="2"/>
          </rPr>
          <t xml:space="preserve">Live EHR session allows wider access.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19" authorId="0">
      <text>
        <r>
          <rPr>
            <sz val="10"/>
            <rFont val="Arial"/>
            <family val="2"/>
          </rPr>
          <t xml:space="preserve">Multi-day loss of the hub.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0" authorId="0">
      <text>
        <r>
          <rPr>
            <sz val="10"/>
            <rFont val="Arial"/>
            <family val="2"/>
          </rPr>
          <t xml:space="preserve">Multiple clinics' historical data.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1" authorId="0">
      <text>
        <r>
          <rPr>
            <sz val="10"/>
            <rFont val="Arial"/>
            <family val="2"/>
          </rPr>
          <t xml:space="preserve">Full patient document store.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2" authorId="0">
      <text>
        <r>
          <rPr>
            <sz val="10"/>
            <rFont val="Arial"/>
            <family val="2"/>
          </rPr>
          <t xml:space="preserve">Enterprise-wide compromise.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3" authorId="0">
      <text>
        <r>
          <rPr>
            <sz val="10"/>
            <rFont val="Arial"/>
            <family val="2"/>
          </rPr>
          <t xml:space="preserve">Full tenant takeover.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4" authorId="0">
      <text>
        <r>
          <rPr>
            <sz val="10"/>
            <rFont val="Arial"/>
            <family val="2"/>
          </rPr>
          <t xml:space="preserve">Large batch sent externally.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5" authorId="0">
      <text>
        <r>
          <rPr>
            <sz val="10"/>
            <rFont val="Arial"/>
            <family val="2"/>
          </rPr>
          <t xml:space="preserve">Systematic interception.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6" authorId="0">
      <text>
        <r>
          <rPr>
            <sz val="10"/>
            <rFont val="Arial"/>
            <family val="2"/>
          </rPr>
          <t xml:space="preserve">Hypervisor-level ransomware.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7" authorId="0">
      <text>
        <r>
          <rPr>
            <sz val="10"/>
            <rFont val="Arial"/>
            <family val="2"/>
          </rPr>
          <t xml:space="preserve">Spread to multiple devices.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8" authorId="0">
      <text>
        <r>
          <rPr>
            <sz val="10"/>
            <rFont val="Arial"/>
            <family val="2"/>
          </rPr>
          <t xml:space="preserve">Batch of storage units.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29" authorId="0">
      <text>
        <r>
          <rPr>
            <sz val="10"/>
            <rFont val="Arial"/>
            <family val="2"/>
          </rPr>
          <t xml:space="preserve">Systemic transfer plus clinical errors.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30" authorId="0">
      <text>
        <r>
          <rPr>
            <sz val="10"/>
            <rFont val="Arial"/>
            <family val="2"/>
          </rPr>
          <t xml:space="preserve">Privileged account leads to enterprise compromise.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31" authorId="0">
      <text>
        <r>
          <rPr>
            <sz val="10"/>
            <rFont val="Arial"/>
            <family val="2"/>
          </rPr>
          <t xml:space="preserve">Backups and core systems destroyed.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32" authorId="0">
      <text>
        <r>
          <rPr>
            <sz val="10"/>
            <rFont val="Arial"/>
            <family val="2"/>
          </rPr>
          <t xml:space="preserve">Altered results lead to harm.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F33" authorId="0">
      <text>
        <r>
          <rPr>
            <sz val="10"/>
            <rFont val="Arial"/>
            <family val="2"/>
          </rPr>
          <t xml:space="preserve">Large campaign and portal clone.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4" authorId="0">
      <text>
        <r>
          <rPr>
            <sz val="10"/>
            <rFont val="Arial"/>
            <family val="2"/>
          </rPr>
          <t xml:space="preserve">Two-person team; alert triage weak; IR untested. Evidence: E3,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5" authorId="0">
      <text>
        <r>
          <rPr>
            <sz val="10"/>
            <rFont val="Arial"/>
            <family val="2"/>
          </rPr>
          <t xml:space="preserve">Recovery and workarounds untested; small team. Evidence: E3,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6" authorId="0">
      <text>
        <r>
          <rPr>
            <sz val="10"/>
            <rFont val="Arial"/>
            <family val="2"/>
          </rPr>
          <t xml:space="preserve">No restore testing evidence.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7" authorId="0">
      <text>
        <r>
          <rPr>
            <sz val="10"/>
            <rFont val="Arial"/>
            <family val="2"/>
          </rPr>
          <t xml:space="preserve">Logging and detection uncertain.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8" authorId="0">
      <text>
        <r>
          <rPr>
            <sz val="10"/>
            <rFont val="Arial"/>
            <family val="2"/>
          </rPr>
          <t xml:space="preserve">Logs exist but not monitored.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9" authorId="0">
      <text>
        <r>
          <rPr>
            <sz val="10"/>
            <rFont val="Arial"/>
            <family val="2"/>
          </rPr>
          <t xml:space="preserve">Detection of implants uncertain.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0" authorId="0">
      <text>
        <r>
          <rPr>
            <sz val="10"/>
            <rFont val="Arial"/>
            <family val="2"/>
          </rPr>
          <t xml:space="preserve">No device monitoring or inventory evidence.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1" authorId="0">
      <text>
        <r>
          <rPr>
            <sz val="10"/>
            <rFont val="Arial"/>
            <family val="2"/>
          </rPr>
          <t xml:space="preserve">Detection and response are the weak capability itself.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2" authorId="0">
      <text>
        <r>
          <rPr>
            <sz val="10"/>
            <rFont val="Arial"/>
            <family val="2"/>
          </rPr>
          <t xml:space="preserve">Limited visibility into vendor activity.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3" authorId="0">
      <text>
        <r>
          <rPr>
            <sz val="10"/>
            <rFont val="Arial"/>
            <family val="2"/>
          </rPr>
          <t xml:space="preserve">Backups exist but integrity verification absent.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4" authorId="0">
      <text>
        <r>
          <rPr>
            <sz val="10"/>
            <rFont val="Arial"/>
            <family val="2"/>
          </rPr>
          <t xml:space="preserve">API monitoring not evidenced.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5" authorId="0">
      <text>
        <r>
          <rPr>
            <sz val="10"/>
            <rFont val="Arial"/>
            <family val="2"/>
          </rPr>
          <t xml:space="preserve">No clinic-level wireless monitoring evidenced.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6" authorId="0">
      <text>
        <r>
          <rPr>
            <sz val="10"/>
            <rFont val="Arial"/>
            <family val="2"/>
          </rPr>
          <t xml:space="preserve">Clinics can operate without online booking.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7" authorId="0">
      <text>
        <r>
          <rPr>
            <sz val="10"/>
            <rFont val="Arial"/>
            <family val="2"/>
          </rPr>
          <t xml:space="preserve">Bank recall possible if detected quickly.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8" authorId="0">
      <text>
        <r>
          <rPr>
            <sz val="10"/>
            <rFont val="Arial"/>
            <family val="2"/>
          </rPr>
          <t xml:space="preserve">Accounts can be revoked centrally.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19" authorId="0">
      <text>
        <r>
          <rPr>
            <sz val="10"/>
            <rFont val="Arial"/>
            <family val="2"/>
          </rPr>
          <t xml:space="preserve">No alternate site or tested downtime procedures.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0" authorId="0">
      <text>
        <r>
          <rPr>
            <sz val="10"/>
            <rFont val="Arial"/>
            <family val="2"/>
          </rPr>
          <t xml:space="preserve">No monitoring of local storage.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1" authorId="0">
      <text>
        <r>
          <rPr>
            <sz val="10"/>
            <rFont val="Arial"/>
            <family val="2"/>
          </rPr>
          <t xml:space="preserve">Application monitoring unknown.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2" authorId="0">
      <text>
        <r>
          <rPr>
            <sz val="10"/>
            <rFont val="Arial"/>
            <family val="2"/>
          </rPr>
          <t xml:space="preserve">Detection depends on external advisories.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3" authorId="0">
      <text>
        <r>
          <rPr>
            <sz val="10"/>
            <rFont val="Arial"/>
            <family val="2"/>
          </rPr>
          <t xml:space="preserve">Cloud logging uncertain.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4" authorId="0">
      <text>
        <r>
          <rPr>
            <sz val="10"/>
            <rFont val="Arial"/>
            <family val="2"/>
          </rPr>
          <t xml:space="preserve">Privacy function exists to respond.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5" authorId="0">
      <text>
        <r>
          <rPr>
            <sz val="10"/>
            <rFont val="Arial"/>
            <family val="2"/>
          </rPr>
          <t xml:space="preserve">Platform controls available if configured.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6" authorId="0">
      <text>
        <r>
          <rPr>
            <sz val="10"/>
            <rFont val="Arial"/>
            <family val="2"/>
          </rPr>
          <t xml:space="preserve">No attack-surface monitoring.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7" authorId="0">
      <text>
        <r>
          <rPr>
            <sz val="10"/>
            <rFont val="Arial"/>
            <family val="2"/>
          </rPr>
          <t xml:space="preserve">No device monitoring. Evidence: E4</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8" authorId="0">
      <text>
        <r>
          <rPr>
            <sz val="10"/>
            <rFont val="Arial"/>
            <family val="2"/>
          </rPr>
          <t xml:space="preserve">Contracts may impose vendor wiping (unknown).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29" authorId="0">
      <text>
        <r>
          <rPr>
            <sz val="10"/>
            <rFont val="Arial"/>
            <family val="2"/>
          </rPr>
          <t xml:space="preserve">No visibility of AI use.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30" authorId="0">
      <text>
        <r>
          <rPr>
            <sz val="10"/>
            <rFont val="Arial"/>
            <family val="2"/>
          </rPr>
          <t xml:space="preserve">MFA change not monitored. Evidence: E7</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31" authorId="0">
      <text>
        <r>
          <rPr>
            <sz val="10"/>
            <rFont val="Arial"/>
            <family val="2"/>
          </rPr>
          <t xml:space="preserve">Key-person dependency; no admin monitoring. Evidence: E3</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32" authorId="0">
      <text>
        <r>
          <rPr>
            <sz val="10"/>
            <rFont val="Arial"/>
            <family val="2"/>
          </rPr>
          <t xml:space="preserve">No integrity checks evidenced.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G33" authorId="0">
      <text>
        <r>
          <rPr>
            <sz val="10"/>
            <rFont val="Arial"/>
            <family val="2"/>
          </rPr>
          <t xml:space="preserve">Takedown possible once detected. Evidence: E6</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4" authorId="0">
      <text>
        <r>
          <rPr>
            <sz val="10"/>
            <rFont val="Arial"/>
            <family val="2"/>
          </rPr>
          <t xml:space="preserve">Identity is the gateway to every crown jewel.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5" authorId="0">
      <text>
        <r>
          <rPr>
            <sz val="10"/>
            <rFont val="Arial"/>
            <family val="2"/>
          </rPr>
          <t xml:space="preserve">EHR and scheduling underpin care delivery.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6" authorId="0">
      <text>
        <r>
          <rPr>
            <sz val="10"/>
            <rFont val="Arial"/>
            <family val="2"/>
          </rPr>
          <t xml:space="preserve">Recoverability of every crown jewel depends on it.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7" authorId="0">
      <text>
        <r>
          <rPr>
            <sz val="10"/>
            <rFont val="Arial"/>
            <family val="2"/>
          </rPr>
          <t xml:space="preserve">Important but not essential to same-day care.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8" authorId="0">
      <text>
        <r>
          <rPr>
            <sz val="10"/>
            <rFont val="Arial"/>
            <family val="2"/>
          </rPr>
          <t xml:space="preserve">EHR confidentiality is core to trust.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9" authorId="0">
      <text>
        <r>
          <rPr>
            <sz val="10"/>
            <rFont val="Arial"/>
            <family val="2"/>
          </rPr>
          <t xml:space="preserve">Remote access and perimeter serve all clinics.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0" authorId="0">
      <text>
        <r>
          <rPr>
            <sz val="10"/>
            <rFont val="Arial"/>
            <family val="2"/>
          </rPr>
          <t xml:space="preserve">Direct link to patient safety.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1" authorId="0">
      <text>
        <r>
          <rPr>
            <sz val="10"/>
            <rFont val="Arial"/>
            <family val="2"/>
          </rPr>
          <t xml:space="preserve">Response capacity protects every service.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2" authorId="0">
      <text>
        <r>
          <rPr>
            <sz val="10"/>
            <rFont val="Arial"/>
            <family val="2"/>
          </rPr>
          <t xml:space="preserve">Vendors support crown-jewel systems.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3" authorId="0">
      <text>
        <r>
          <rPr>
            <sz val="10"/>
            <rFont val="Arial"/>
            <family val="2"/>
          </rPr>
          <t xml:space="preserve">Clinical record integrity underpins safe care.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4" authorId="0">
      <text>
        <r>
          <rPr>
            <sz val="10"/>
            <rFont val="Arial"/>
            <family val="2"/>
          </rPr>
          <t xml:space="preserve">Integrations support EHR and image exchange.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5" authorId="0">
      <text>
        <r>
          <rPr>
            <sz val="10"/>
            <rFont val="Arial"/>
            <family val="2"/>
          </rPr>
          <t xml:space="preserve">Clinic networks carry point-of-care EHR access.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6" authorId="0">
      <text>
        <r>
          <rPr>
            <sz val="10"/>
            <rFont val="Arial"/>
            <family val="2"/>
          </rPr>
          <t xml:space="preserve">Online services useful but not essential to care. Evidence: E8</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7" authorId="0">
      <text>
        <r>
          <rPr>
            <sz val="10"/>
            <rFont val="Arial"/>
            <family val="2"/>
          </rPr>
          <t xml:space="preserve">Financial, not clinical, process.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8" authorId="0">
      <text>
        <r>
          <rPr>
            <sz val="10"/>
            <rFont val="Arial"/>
            <family val="2"/>
          </rPr>
          <t xml:space="preserve">Supports but is not essential to care.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19" authorId="0">
      <text>
        <r>
          <rPr>
            <sz val="10"/>
            <rFont val="Arial"/>
            <family val="2"/>
          </rPr>
          <t xml:space="preserve">Hub serves every clinic.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0" authorId="0">
      <text>
        <r>
          <rPr>
            <sz val="10"/>
            <rFont val="Arial"/>
            <family val="2"/>
          </rPr>
          <t xml:space="preserve">Supports clinic operations.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1" authorId="0">
      <text>
        <r>
          <rPr>
            <sz val="10"/>
            <rFont val="Arial"/>
            <family val="2"/>
          </rPr>
          <t xml:space="preserve">Patient-facing and trust-critical. Evidence: E8</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2" authorId="0">
      <text>
        <r>
          <rPr>
            <sz val="10"/>
            <rFont val="Arial"/>
            <family val="2"/>
          </rPr>
          <t xml:space="preserve">May affect crown-jewel software.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3" authorId="0">
      <text>
        <r>
          <rPr>
            <sz val="10"/>
            <rFont val="Arial"/>
            <family val="2"/>
          </rPr>
          <t xml:space="preserve">Cloud identity underpins remote access.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4" authorId="0">
      <text>
        <r>
          <rPr>
            <sz val="10"/>
            <rFont val="Arial"/>
            <family val="2"/>
          </rPr>
          <t xml:space="preserve">Routine communication processes.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5" authorId="0">
      <text>
        <r>
          <rPr>
            <sz val="10"/>
            <rFont val="Arial"/>
            <family val="2"/>
          </rPr>
          <t xml:space="preserve">Supports but is not core to most care.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6" authorId="0">
      <text>
        <r>
          <rPr>
            <sz val="10"/>
            <rFont val="Arial"/>
            <family val="2"/>
          </rPr>
          <t xml:space="preserve">Infrastructure hosts crown jewels.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7" authorId="0">
      <text>
        <r>
          <rPr>
            <sz val="10"/>
            <rFont val="Arial"/>
            <family val="2"/>
          </rPr>
          <t xml:space="preserve">Imaging is a core diagnostic service.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8" authorId="0">
      <text>
        <r>
          <rPr>
            <sz val="10"/>
            <rFont val="Arial"/>
            <family val="2"/>
          </rPr>
          <t xml:space="preserve">Lifecycle process.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29" authorId="0">
      <text>
        <r>
          <rPr>
            <sz val="10"/>
            <rFont val="Arial"/>
            <family val="2"/>
          </rPr>
          <t xml:space="preserve">Clinical documentation.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30" authorId="0">
      <text>
        <r>
          <rPr>
            <sz val="10"/>
            <rFont val="Arial"/>
            <family val="2"/>
          </rPr>
          <t xml:space="preserve">Identity gateway.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31" authorId="0">
      <text>
        <r>
          <rPr>
            <sz val="10"/>
            <rFont val="Arial"/>
            <family val="2"/>
          </rPr>
          <t xml:space="preserve">Infrastructure-wide. Evidence: E2</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32" authorId="0">
      <text>
        <r>
          <rPr>
            <sz val="10"/>
            <rFont val="Arial"/>
            <family val="2"/>
          </rPr>
          <t xml:space="preserve">Lab and pharmacy data drive treatment. Evidence: E1</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H33" authorId="0">
      <text>
        <r>
          <rPr>
            <sz val="10"/>
            <rFont val="Arial"/>
            <family val="2"/>
          </rPr>
          <t xml:space="preserve">Trust and patient communications. Evidence: E5</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3</xdr:row>
                <xdr:rowOff>7</xdr:rowOff>
              </xdr:to>
            </anchor>
          </commentPr>
        </mc:Choice>
        <mc:Fallback/>
      </mc:AlternateContent>
    </comment>
    <comment ref="J4" authorId="0">
      <text>
        <r>
          <rPr>
            <sz val="10"/>
            <rFont val="Arial"/>
            <family val="2"/>
          </rPr>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13</xdr:row>
                <xdr:rowOff>2</xdr:rowOff>
              </xdr:to>
            </anchor>
          </commentPr>
        </mc:Choice>
        <mc:Fallback/>
      </mc:AlternateContent>
    </comment>
    <comment ref="J5" authorId="0">
      <text>
        <r>
          <rPr>
            <sz val="10"/>
            <rFont val="Arial"/>
            <family val="2"/>
          </rPr>
          <t xml:space="preserve">Representative weakness: malicious macro document leading to code execution (initial vector in E6). AV:L - the document is delivered by e-mail but opened locally on the workstation (FIRST CVSS v4.0 user guide: document-based weaknesses are Local whatever the delivery channel); AC:L; AT:N; PR:N; UI:P user opens the document; VC/VI/VA:H on the workstation; SC/SI/SA:H because EHR and clinic systems are subsequently affected. CVSS describes the entry weakness only, not the enterprise impact.</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14</xdr:row>
                <xdr:rowOff>31</xdr:rowOff>
              </xdr:to>
            </anchor>
          </commentPr>
        </mc:Choice>
        <mc:Fallback/>
      </mc:AlternateContent>
    </comment>
    <comment ref="J6" authorId="0">
      <text>
        <r>
          <rPr>
            <sz val="10"/>
            <rFont val="Arial"/>
            <family val="2"/>
          </rPr>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8</xdr:row>
                <xdr:rowOff>5</xdr:rowOff>
              </xdr:to>
            </anchor>
          </commentPr>
        </mc:Choice>
        <mc:Fallback/>
      </mc:AlternateContent>
    </comment>
    <comment ref="J7" authorId="0">
      <text>
        <r>
          <rPr>
            <sz val="10"/>
            <rFont val="Arial"/>
            <family val="2"/>
          </rPr>
          <t xml:space="preserve">Representative weakness: storage object accessible without authentication (CWE-284 misconfiguration). AV:N, AC:L, AT:N, PR:N, UI:N; confidentiality only (VC:H).</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5</xdr:row>
                <xdr:rowOff>23</xdr:rowOff>
              </xdr:to>
            </anchor>
          </commentPr>
        </mc:Choice>
        <mc:Fallback/>
      </mc:AlternateContent>
    </comment>
    <comment ref="J8" authorId="0">
      <text>
        <r>
          <rPr>
            <sz val="10"/>
            <rFont val="Arial"/>
            <family val="2"/>
          </rPr>
          <t xml:space="preserve">Limited applicability: insider misuse is not a software vulnerability. Representative weakness used for the workbook: excessive privileges on an authenticated account (CWE-269). PR:L legitimate low-privilege access; VC:H bulk read; VI:L. Interpret with caution.</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7</xdr:row>
                <xdr:rowOff>6</xdr:rowOff>
              </xdr:to>
            </anchor>
          </commentPr>
        </mc:Choice>
        <mc:Fallback/>
      </mc:AlternateContent>
    </comment>
    <comment ref="J9" authorId="0">
      <text>
        <r>
          <rPr>
            <sz val="10"/>
            <rFont val="Arial"/>
            <family val="2"/>
          </rPr>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8</xdr:row>
                <xdr:rowOff>5</xdr:rowOff>
              </xdr:to>
            </anchor>
          </commentPr>
        </mc:Choice>
        <mc:Fallback/>
      </mc:AlternateContent>
    </comment>
    <comment ref="J10" authorId="0">
      <text>
        <r>
          <rPr>
            <sz val="10"/>
            <rFont val="Arial"/>
            <family val="2"/>
          </rPr>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7</xdr:row>
                <xdr:rowOff>21</xdr:rowOff>
              </xdr:to>
            </anchor>
          </commentPr>
        </mc:Choice>
        <mc:Fallback/>
      </mc:AlternateContent>
    </comment>
    <comment ref="J11" authorId="0">
      <text>
        <r>
          <rPr>
            <sz val="10"/>
            <rFont val="Arial"/>
            <family val="2"/>
          </rPr>
          <t xml:space="preserve">Limited applicability: a detection gap is a control weakness, not a vulnerability. Representative weakness for the workbook: the undetected initial code-execution vector (macro/PowerShell, E6); AV:L because the malicious document is opened locally. Do not interpret the score as the severity of the detection gap.</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8</xdr:row>
                <xdr:rowOff>19</xdr:rowOff>
              </xdr:to>
            </anchor>
          </commentPr>
        </mc:Choice>
        <mc:Fallback/>
      </mc:AlternateContent>
    </comment>
    <comment ref="J12" authorId="0">
      <text>
        <r>
          <rPr>
            <sz val="10"/>
            <rFont val="Arial"/>
            <family val="2"/>
          </rPr>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7</xdr:row>
                <xdr:rowOff>21</xdr:rowOff>
              </xdr:to>
            </anchor>
          </commentPr>
        </mc:Choice>
        <mc:Fallback/>
      </mc:AlternateContent>
    </comment>
    <comment ref="J13" authorId="0">
      <text>
        <r>
          <rPr>
            <sz val="10"/>
            <rFont val="Arial"/>
            <family val="2"/>
          </rPr>
          <t xml:space="preserve">Representative weakness: authenticated user able to modify records beyond need (improper authorization, CWE-285). PR:L; VI:H; SI:H because pharmacy/lab downstream systems consume the altered data.</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6</xdr:row>
                <xdr:rowOff>22</xdr:rowOff>
              </xdr:to>
            </anchor>
          </commentPr>
        </mc:Choice>
        <mc:Fallback/>
      </mc:AlternateContent>
    </comment>
    <comment ref="J14" authorId="0">
      <text>
        <r>
          <rPr>
            <sz val="10"/>
            <rFont val="Arial"/>
            <family val="2"/>
          </rPr>
          <t xml:space="preserve">Representative weakness: hard-coded credential (CWE-798). AT:P the attacker must first obtain the leaked secret; PR:N once held, no further privileges needed; VC:H data access; VI:L limited write scope.</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6</xdr:row>
                <xdr:rowOff>7</xdr:rowOff>
              </xdr:to>
            </anchor>
          </commentPr>
        </mc:Choice>
        <mc:Fallback/>
      </mc:AlternateContent>
    </comment>
    <comment ref="J15" authorId="0">
      <text>
        <r>
          <rPr>
            <sz val="10"/>
            <rFont val="Arial"/>
            <family val="2"/>
          </rPr>
          <t xml:space="preserve">Representative weakness: weak wireless authentication with guest-to-internal routing. AV:A adjacent (radio range); VC/VI:L on the WLAN itself; SC:H clinical systems reachable behind it.</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5</xdr:row>
                <xdr:rowOff>8</xdr:rowOff>
              </xdr:to>
            </anchor>
          </commentPr>
        </mc:Choice>
        <mc:Fallback/>
      </mc:AlternateContent>
    </comment>
    <comment ref="J16" authorId="0">
      <text>
        <r>
          <rPr>
            <sz val="10"/>
            <rFont val="Arial"/>
            <family val="2"/>
          </rPr>
          <t xml:space="preserve">Limited applicability: volumetric DDoS exploits capacity, not a software flaw. Representative weakness: service without rate limiting or upstream mitigation (CWE-770). Availability only.</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5</xdr:row>
                <xdr:rowOff>23</xdr:rowOff>
              </xdr:to>
            </anchor>
          </commentPr>
        </mc:Choice>
        <mc:Fallback/>
      </mc:AlternateContent>
    </comment>
    <comment ref="J17" authorId="0">
      <text>
        <r>
          <rPr>
            <sz val="10"/>
            <rFont val="Arial"/>
            <family val="2"/>
          </rPr>
          <t xml:space="preserve">Limited applicability: payment fraud is a process weakness. Representative weakness: spoofable sender domain without enforced DMARC. UI:A staff must act on the instruction; VI:L data changed. The low score understates business impact - rely on damage estimates.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7</xdr:row>
                <xdr:rowOff>6</xdr:rowOff>
              </xdr:to>
            </anchor>
          </commentPr>
        </mc:Choice>
        <mc:Fallback/>
      </mc:AlternateContent>
    </comment>
    <comment ref="J18" authorId="0">
      <text>
        <r>
          <rPr>
            <sz val="10"/>
            <rFont val="Arial"/>
            <family val="2"/>
          </rPr>
          <t xml:space="preserve">Representative weakness: missing encryption of sensitive data at rest on the device (CWE-311). AV:P physical possession required; confidentiality only.</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24</xdr:rowOff>
              </xdr:to>
            </anchor>
          </commentPr>
        </mc:Choice>
        <mc:Fallback/>
      </mc:AlternateContent>
    </comment>
    <comment ref="J19" authorId="0">
      <text>
        <r>
          <rPr>
            <sz val="10"/>
            <rFont val="Arial"/>
            <family val="2"/>
          </rPr>
          <t xml:space="preserve">Limited applicability: architectural dependency, largely non-malicious. Representative weakness: denial of service against a single edge device with no redundancy (AT:P specific conditions); VA:H and SA:H for downstream systems.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7</xdr:row>
                <xdr:rowOff>6</xdr:rowOff>
              </xdr:to>
            </anchor>
          </commentPr>
        </mc:Choice>
        <mc:Fallback/>
      </mc:AlternateContent>
    </comment>
    <comment ref="J20" authorId="0">
      <text>
        <r>
          <rPr>
            <sz val="10"/>
            <rFont val="Arial"/>
            <family val="2"/>
          </rPr>
          <t xml:space="preserve">Representative weakness: incorrect default permissions on network shares (CWE-276). AV:A clinic network; PR:L any domain user.</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9</xdr:rowOff>
              </xdr:to>
            </anchor>
          </commentPr>
        </mc:Choice>
        <mc:Fallback/>
      </mc:AlternateContent>
    </comment>
    <comment ref="J21" authorId="0">
      <text>
        <r>
          <rPr>
            <sz val="10"/>
            <rFont val="Arial"/>
            <family val="2"/>
          </rPr>
          <t xml:space="preserve">Representative weakness: authorization bypass through user-controlled key (CWE-639). PR:L any patient account; VC:H cross-patient data.</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24</xdr:rowOff>
              </xdr:to>
            </anchor>
          </commentPr>
        </mc:Choice>
        <mc:Fallback/>
      </mc:AlternateContent>
    </comment>
    <comment ref="J22" authorId="0">
      <text>
        <r>
          <rPr>
            <sz val="10"/>
            <rFont val="Arial"/>
            <family val="2"/>
          </rPr>
          <t xml:space="preserve">Limited applicability: supplier compromise. Representative weakness: download of code without integrity check (CWE-494). AC:H and AT:P - the supplier's pipeline must be compromised first.</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5</xdr:row>
                <xdr:rowOff>23</xdr:rowOff>
              </xdr:to>
            </anchor>
          </commentPr>
        </mc:Choice>
        <mc:Fallback/>
      </mc:AlternateContent>
    </comment>
    <comment ref="J23" authorId="0">
      <text>
        <r>
          <rPr>
            <sz val="10"/>
            <rFont val="Arial"/>
            <family val="2"/>
          </rPr>
          <t xml:space="preserve">Representative weakness: session token not bound to device, reusable after MFA (CWE-294-type). UI:A admin must interact with the lure; all impacts High because the control plane governs subsequent systems.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6</xdr:row>
                <xdr:rowOff>7</xdr:rowOff>
              </xdr:to>
            </anchor>
          </commentPr>
        </mc:Choice>
        <mc:Fallback/>
      </mc:AlternateContent>
    </comment>
    <comment ref="J24" authorId="0">
      <text>
        <r>
          <rPr>
            <sz val="10"/>
            <rFont val="Arial"/>
            <family val="2"/>
          </rPr>
          <t xml:space="preserve">Limited applicability: human error. Representative weakness: absence of outbound data-loss safeguards for an authenticated user. The score is low by design; business impact is captured in damage estimates.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6</xdr:row>
                <xdr:rowOff>7</xdr:rowOff>
              </xdr:to>
            </anchor>
          </commentPr>
        </mc:Choice>
        <mc:Fallback/>
      </mc:AlternateContent>
    </comment>
    <comment ref="J25" authorId="0">
      <text>
        <r>
          <rPr>
            <sz val="10"/>
            <rFont val="Arial"/>
            <family val="2"/>
          </rPr>
          <t xml:space="preserve">Representative weakness: missing authentication for a meeting resource (CWE-306). AT:P attacker must obtain the link.</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9</xdr:rowOff>
              </xdr:to>
            </anchor>
          </commentPr>
        </mc:Choice>
        <mc:Fallback/>
      </mc:AlternateContent>
    </comment>
    <comment ref="J26" authorId="0">
      <text>
        <r>
          <rPr>
            <sz val="10"/>
            <rFont val="Arial"/>
            <family val="2"/>
          </rPr>
          <t xml:space="preserve">Representative weakness: exposed management interface with weak or default credentials (CWE-1392/521). AT:P - success depends on a guessable credential.</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24</xdr:rowOff>
              </xdr:to>
            </anchor>
          </commentPr>
        </mc:Choice>
        <mc:Fallback/>
      </mc:AlternateContent>
    </comment>
    <comment ref="J27" authorId="0">
      <text>
        <r>
          <rPr>
            <sz val="10"/>
            <rFont val="Arial"/>
            <family val="2"/>
          </rPr>
          <t xml:space="preserve">Representative weakness: automatic execution of content from removable media. AV:P media inserted physically; UI:P staff loads it.</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9</xdr:rowOff>
              </xdr:to>
            </anchor>
          </commentPr>
        </mc:Choice>
        <mc:Fallback/>
      </mc:AlternateContent>
    </comment>
    <comment ref="J28" authorId="0">
      <text>
        <r>
          <rPr>
            <sz val="10"/>
            <rFont val="Arial"/>
            <family val="2"/>
          </rPr>
          <t xml:space="preserve">Representative weakness: sensitive information in resource not removed before reuse (CWE-226). AV:P physical possession.</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9</xdr:rowOff>
              </xdr:to>
            </anchor>
          </commentPr>
        </mc:Choice>
        <mc:Fallback/>
      </mc:AlternateContent>
    </comment>
    <comment ref="J29" authorId="0">
      <text>
        <r>
          <rPr>
            <sz val="10"/>
            <rFont val="Arial"/>
            <family val="2"/>
          </rPr>
          <t xml:space="preserve">Limited applicability: policy and data-governance gap. Representative weakness: exposure of sensitive information to an unauthorized actor via unrestricted egress (CWE-200). AT:P - harm depends on provider retention.</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6</xdr:row>
                <xdr:rowOff>22</xdr:rowOff>
              </xdr:to>
            </anchor>
          </commentPr>
        </mc:Choice>
        <mc:Fallback/>
      </mc:AlternateContent>
    </comment>
    <comment ref="J30" authorId="0">
      <text>
        <r>
          <rPr>
            <sz val="10"/>
            <rFont val="Arial"/>
            <family val="2"/>
          </rPr>
          <t xml:space="preserve">Limited applicability: process weakness. Representative weakness: weak authentication of the account-recovery process (CWE-640). UI:A help-desk agent acts.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5</xdr:row>
                <xdr:rowOff>8</xdr:rowOff>
              </xdr:to>
            </anchor>
          </commentPr>
        </mc:Choice>
        <mc:Fallback/>
      </mc:AlternateContent>
    </comment>
    <comment ref="J31" authorId="0">
      <text>
        <r>
          <rPr>
            <sz val="10"/>
            <rFont val="Arial"/>
            <family val="2"/>
          </rPr>
          <t xml:space="preserve">Limited applicability: insider abuse of legitimate privileges. Representative weakness: excessive standing privileges (CWE-250). PR:H administrator.</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4</xdr:row>
                <xdr:rowOff>24</xdr:rowOff>
              </xdr:to>
            </anchor>
          </commentPr>
        </mc:Choice>
        <mc:Fallback/>
      </mc:AlternateContent>
    </comment>
    <comment ref="J32" authorId="0">
      <text>
        <r>
          <rPr>
            <sz val="10"/>
            <rFont val="Arial"/>
            <family val="2"/>
          </rPr>
          <t xml:space="preserve">Representative weakness: cleartext transmission of sensitive information (CWE-319) without integrity check (CWE-353). AV:A adjacent; AT:P attacker must be on path; SI:H downstream EHR.</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5</xdr:row>
                <xdr:rowOff>23</xdr:rowOff>
              </xdr:to>
            </anchor>
          </commentPr>
        </mc:Choice>
        <mc:Fallback/>
      </mc:AlternateContent>
    </comment>
    <comment ref="J33" authorId="0">
      <text>
        <r>
          <rPr>
            <sz val="10"/>
            <rFont val="Arial"/>
            <family val="2"/>
          </rPr>
          <t xml:space="preserve">Limited applicability: impersonation outside MediBec's systems. Representative weakness: sender domain spoofable without enforced DMARC. Business impact is captured by damage estimates, not CVSS.</t>
        </r>
      </text>
      <mc:AlternateContent>
        <mc:Choice Requires="v2">
          <commentPr autoFill="true" autoScale="false" colHidden="false" locked="false" rowHidden="false" textHAlign="justify" textVAlign="top">
            <anchor moveWithCells="false" sizeWithCells="false">
              <xdr:from>
                <xdr:col>1</xdr:col>
                <xdr:colOff>35</xdr:colOff>
                <xdr:row>0</xdr:row>
                <xdr:rowOff>2</xdr:rowOff>
              </xdr:from>
              <xdr:to>
                <xdr:col>2</xdr:col>
                <xdr:colOff>-265</xdr:colOff>
                <xdr:row>6</xdr:row>
                <xdr:rowOff>7</xdr:rowOff>
              </xdr:to>
            </anchor>
          </commentPr>
        </mc:Choice>
        <mc:Fallback/>
      </mc:AlternateContent>
    </comment>
  </commentList>
</comments>
</file>

<file path=xl/sharedStrings.xml><?xml version="1.0" encoding="utf-8"?>
<sst xmlns="http://schemas.openxmlformats.org/spreadsheetml/2006/main" count="2293" uniqueCount="1363">
  <si>
    <t xml:space="preserve">MediBec - CyberRiskGuardian Risk Assessment Workbook</t>
  </si>
  <si>
    <t xml:space="preserve">Assessment period: next 12 months (October 2026 - September 2027). Currency: CAD. Cost basis: Year-1 = initial implementation + first-year recurring.</t>
  </si>
  <si>
    <t xml:space="preserve">30-scenario assessment (S1-S10 carried over unchanged from the 10-scenario assessment; S11-S30 added). Source: MediBec Business Case v2.0b (fictional teaching case, M.-A. Leger) and CyberRiskGuardian Excel Guide v1.0c formulas.</t>
  </si>
  <si>
    <t xml:space="preserve">All parameter values, CVSS vectors, costs and reductions are ANALYTICAL ESTIMATES — VALIDATION REQUIRED. Scores are relative decision-support indicators, not loss predictions.</t>
  </si>
  <si>
    <t xml:space="preserve">Colour legend:  blue text = input you may edit  |  black = formula  |  green = link to another sheet  |  yellow fill = key assumption.</t>
  </si>
  <si>
    <t xml:space="preserve">Sheets:</t>
  </si>
  <si>
    <t xml:space="preserve">  Parameters  - risk appetite, multiplication factor, tolerance band (edit here).</t>
  </si>
  <si>
    <t xml:space="preserve">  Inputs      - S1-S30 quantitative parameters, CVSS v4.0 vector/score, reductions, confidence.</t>
  </si>
  <si>
    <t xml:space="preserve">  Analyse     - estimated, tolerated, mitigated, residual risk, ratio, classification, cost-effectiveness (live formulas).</t>
  </si>
  <si>
    <t xml:space="preserve">  Portfolio   - 23 initiatives, costs and scenario mapping; shared costs split equally across scenarios addressed (no double-counting).</t>
  </si>
  <si>
    <t xml:space="preserve">  Sensitivity - lower / central / higher cases for ten key scenarios (all parameters shifted by +/- delta).</t>
  </si>
  <si>
    <t xml:space="preserve">  Case_View   - case-native escalation view (s.8 of the case): T x E x I x (1 - C), with the 0.25 / 0.40 escalation thresholds.</t>
  </si>
  <si>
    <t xml:space="preserve">  Candidates, Scenarios, KRIs, Evidence - supporting registers.</t>
  </si>
  <si>
    <t xml:space="preserve">Formulas (Excel Guide v1.0c, s.11):</t>
  </si>
  <si>
    <t xml:space="preserve">  Estimated = Pb(A) x Pb(psi,A) x CVSS x ((de + dm)/2) x mu(E) / theta x Factor</t>
  </si>
  <si>
    <t xml:space="preserve">  Tolerated = Pb(A) x Pb(psi,A) x CVSS x Appetite x mu(E) / theta x Factor</t>
  </si>
  <si>
    <t xml:space="preserve">  Mitigated = Estimated x ProbabilityReduction x ImpactReduction ;  Residual = Estimated - Mitigated</t>
  </si>
  <si>
    <t xml:space="preserve">  Ratio = Residual / Tolerated ;  Cost-effectiveness = (Estimated - Residual) / Cost x 1000</t>
  </si>
  <si>
    <t xml:space="preserve">Note: Residual = Estimated - Mitigated; the corrected template guards it with MAX(0, L - R) (never ABS). Both reductions are kept within 0-1, so L - R is always &gt;= 0; a validity check column is included.</t>
  </si>
  <si>
    <t xml:space="preserve">How to use: change blue cells on Parameters / Inputs / Portfolio, then recalculate (Formulas &gt; Calculate Now if manual).</t>
  </si>
  <si>
    <t xml:space="preserve">Budget extension (added):</t>
  </si>
  <si>
    <t xml:space="preserve">  Budget_Params  - IT budget, guideline band (4% / 7.8% / 12%), appetite-to-target mapping, ramp.</t>
  </si>
  <si>
    <t xml:space="preserve">  Budget_Lines   - phased cyber and IT lines per fiscal year with cyber share; contingency and balancing reserve.</t>
  </si>
  <si>
    <t xml:space="preserve">  Budget_Summary - options A-D and recommended vs band; implied appetite; project budgets; IT-budget sensitivity.</t>
  </si>
  <si>
    <t xml:space="preserve">  Budget_Risk    - residual risk and tolerance status at portfolio vs. second-wave funding.</t>
  </si>
  <si>
    <t xml:space="preserve">Analyse - CyberRiskGuardian risk indices (Excel Guide v1.0c formulas; not KRIs)</t>
  </si>
  <si>
    <t xml:space="preserve">Green = linked from Inputs / Portfolio / Parameters; black = formula.</t>
  </si>
  <si>
    <t xml:space="preserve">ID</t>
  </si>
  <si>
    <t xml:space="preserve">Scenario</t>
  </si>
  <si>
    <t xml:space="preserve">Pb(A)</t>
  </si>
  <si>
    <t xml:space="preserve">Pb(psi,A)</t>
  </si>
  <si>
    <t xml:space="preserve">CVSS-B</t>
  </si>
  <si>
    <t xml:space="preserve">de</t>
  </si>
  <si>
    <t xml:space="preserve">dm</t>
  </si>
  <si>
    <t xml:space="preserve">mu(E)</t>
  </si>
  <si>
    <t xml:space="preserve">theta</t>
  </si>
  <si>
    <t xml:space="preserve">Appetite</t>
  </si>
  <si>
    <t xml:space="preserve">Factor</t>
  </si>
  <si>
    <t xml:space="preserve">Estimated risk</t>
  </si>
  <si>
    <t xml:space="preserve">Tolerated risk</t>
  </si>
  <si>
    <t xml:space="preserve">Pre-treatment ratio</t>
  </si>
  <si>
    <t xml:space="preserve">Allocated Y1 cost</t>
  </si>
  <si>
    <t xml:space="preserve">Prob. reduction</t>
  </si>
  <si>
    <t xml:space="preserve">Impact reduction</t>
  </si>
  <si>
    <t xml:space="preserve">Mitigated</t>
  </si>
  <si>
    <t xml:space="preserve">Residual</t>
  </si>
  <si>
    <t xml:space="preserve">Residual / Tolerated</t>
  </si>
  <si>
    <t xml:space="preserve">Classification</t>
  </si>
  <si>
    <t xml:space="preserve">Cost-effectiveness (per $1k)</t>
  </si>
  <si>
    <t xml:space="preserve">Validity (P,Q in 0-1)</t>
  </si>
  <si>
    <t xml:space="preserve">Portfolio totals</t>
  </si>
  <si>
    <t xml:space="preserve">Interpretation: Residual/Tolerated simplifies to ((de+dm)/2) x (1 - P x Q) / Appetite - CVSS, probabilities, resilience and criticality scale magnitude (ranking) but cancel out of the tolerance test.</t>
  </si>
  <si>
    <t xml:space="preserve">Global parameters</t>
  </si>
  <si>
    <t xml:space="preserve">Parameter</t>
  </si>
  <si>
    <t xml:space="preserve">Value</t>
  </si>
  <si>
    <t xml:space="preserve">Source / note</t>
  </si>
  <si>
    <t xml:space="preserve">Risk appetite (analyst estimate)</t>
  </si>
  <si>
    <t xml:space="preserve">Analytical estimate — validation required. Case states 0.40 normalized tolerance; see report s.4.</t>
  </si>
  <si>
    <t xml:space="preserve">Multiplication factor</t>
  </si>
  <si>
    <t xml:space="preserve">Constant across all scenarios (Excel Guide worked example).</t>
  </si>
  <si>
    <t xml:space="preserve">Tolerance band - lower bound of 'approximately at'</t>
  </si>
  <si>
    <t xml:space="preserve">Ratio &lt; this = below tolerance</t>
  </si>
  <si>
    <t xml:space="preserve">Tolerance band - upper bound of 'approximately at'</t>
  </si>
  <si>
    <t xml:space="preserve">Ratio &gt; this = above tolerance</t>
  </si>
  <si>
    <t xml:space="preserve">Case appetite (for comparison)</t>
  </si>
  <si>
    <t xml:space="preserve">Business case s.8</t>
  </si>
  <si>
    <t xml:space="preserve">Sensitivity delta</t>
  </si>
  <si>
    <t xml:space="preserve">Shift applied in Sensitivity sheet</t>
  </si>
  <si>
    <t xml:space="preserve">Case escalation - executive review threshold</t>
  </si>
  <si>
    <t xml:space="preserve">Case escalation - Board acceptance threshold</t>
  </si>
  <si>
    <t xml:space="preserve">Scenario inputs (0-1 scale unless stated) - Analytical estimates — validation required</t>
  </si>
  <si>
    <t xml:space="preserve">CVSS v4.0 vector</t>
  </si>
  <si>
    <t xml:space="preserve">Conf Pb(A)</t>
  </si>
  <si>
    <t xml:space="preserve">Conf Pb(psi,A)</t>
  </si>
  <si>
    <t xml:space="preserve">Conf de</t>
  </si>
  <si>
    <t xml:space="preserve">Conf dm</t>
  </si>
  <si>
    <t xml:space="preserve">Conf theta</t>
  </si>
  <si>
    <t xml:space="preserve">Conf mu</t>
  </si>
  <si>
    <t xml:space="preserve">S1</t>
  </si>
  <si>
    <t xml:space="preserve">Credential compromise of clinical administrator accounts through phishing and MFA fatigue</t>
  </si>
  <si>
    <t xml:space="preserve">CVSS:4.0/AV:N/AC:L/AT:N/PR:N/UI:A/VC:H/VI:H/VA:N/SC:H/SI:L/SA:L</t>
  </si>
  <si>
    <t xml:space="preserve">Medium</t>
  </si>
  <si>
    <t xml:space="preserve">Low</t>
  </si>
  <si>
    <t xml:space="preserve">High</t>
  </si>
  <si>
    <t xml:space="preserve">S2</t>
  </si>
  <si>
    <t xml:space="preserve">Ransomware disrupting EHR access and clinic operations across the network</t>
  </si>
  <si>
    <t xml:space="preserve">CVSS:4.0/AV:L/AC:L/AT:N/PR:N/UI:P/VC:H/VI:H/VA:H/SC:H/SI:H/SA:H</t>
  </si>
  <si>
    <t xml:space="preserve">S3</t>
  </si>
  <si>
    <t xml:space="preserve">Backup environment compromised, preventing recovery after a destructive attack</t>
  </si>
  <si>
    <t xml:space="preserve">CVSS:4.0/AV:N/AC:L/AT:N/PR:H/UI:N/VC:H/VI:H/VA:H/SC:N/SI:N/SA:H</t>
  </si>
  <si>
    <t xml:space="preserve">S4</t>
  </si>
  <si>
    <t xml:space="preserve">Cloud medical-image transfer storage exposed, enabling bulk health-data exfiltration</t>
  </si>
  <si>
    <t xml:space="preserve">CVSS:4.0/AV:N/AC:L/AT:N/PR:N/UI:N/VC:H/VI:N/VA:N/SC:N/SI:N/SA:N</t>
  </si>
  <si>
    <t xml:space="preserve">S5</t>
  </si>
  <si>
    <t xml:space="preserve">Misuse of legitimate clinical, privileged or service-account access to extract patient records</t>
  </si>
  <si>
    <t xml:space="preserve">CVSS:4.0/AV:N/AC:L/AT:N/PR:L/UI:N/VC:H/VI:L/VA:N/SC:N/SI:N/SA:N</t>
  </si>
  <si>
    <t xml:space="preserve">S6</t>
  </si>
  <si>
    <t xml:space="preserve">Exploitation of unpatched internet-facing or end-of-life systems</t>
  </si>
  <si>
    <t xml:space="preserve">CVSS:4.0/AV:N/AC:L/AT:N/PR:N/UI:N/VC:H/VI:H/VA:H/SC:H/SI:H/SA:H</t>
  </si>
  <si>
    <t xml:space="preserve">S7</t>
  </si>
  <si>
    <t xml:space="preserve">Connected medical device used as a foothold to disrupt clinical equipment and reach the EHR network</t>
  </si>
  <si>
    <t xml:space="preserve">CVSS:4.0/AV:A/AC:L/AT:N/PR:N/UI:N/VC:H/VI:H/VA:H/SC:L/SI:L/SA:L</t>
  </si>
  <si>
    <t xml:space="preserve">S8</t>
  </si>
  <si>
    <t xml:space="preserve">Detection and response gaps allow an intrusion to persist and escalate</t>
  </si>
  <si>
    <t xml:space="preserve">CVSS:4.0/AV:L/AC:L/AT:N/PR:N/UI:P/VC:H/VI:H/VA:L/SC:H/SI:L/SA:L</t>
  </si>
  <si>
    <t xml:space="preserve">S9</t>
  </si>
  <si>
    <t xml:space="preserve">Compromise of a critical vendor with remote access to MediBec systems</t>
  </si>
  <si>
    <t xml:space="preserve">CVSS:4.0/AV:N/AC:L/AT:P/PR:L/UI:N/VC:H/VI:H/VA:H/SC:H/SI:H/SA:H</t>
  </si>
  <si>
    <t xml:space="preserve">S10</t>
  </si>
  <si>
    <t xml:space="preserve">Manipulation of patient, medication or billing records undermining clinical decisions</t>
  </si>
  <si>
    <t xml:space="preserve">CVSS:4.0/AV:N/AC:L/AT:N/PR:L/UI:N/VC:L/VI:H/VA:N/SC:N/SI:H/SA:N</t>
  </si>
  <si>
    <t xml:space="preserve">S11</t>
  </si>
  <si>
    <t xml:space="preserve">API key or secret exposed in code, logs or configuration enables direct data access</t>
  </si>
  <si>
    <t xml:space="preserve">CVSS:4.0/AV:N/AC:L/AT:P/PR:N/UI:N/VC:H/VI:L/VA:N/SC:N/SI:N/SA:N</t>
  </si>
  <si>
    <t xml:space="preserve">S12</t>
  </si>
  <si>
    <t xml:space="preserve">Clinic Wi-Fi compromise or rogue access point gives access to the clinical network</t>
  </si>
  <si>
    <t xml:space="preserve">CVSS:4.0/AV:A/AC:L/AT:N/PR:N/UI:N/VC:L/VI:L/VA:N/SC:H/SI:L/SA:L</t>
  </si>
  <si>
    <t xml:space="preserve">S13</t>
  </si>
  <si>
    <t xml:space="preserve">DDoS attack disrupts online booking, patient portal and communications</t>
  </si>
  <si>
    <t xml:space="preserve">CVSS:4.0/AV:N/AC:L/AT:N/PR:N/UI:N/VC:N/VI:N/VA:H/SC:N/SI:N/SA:N</t>
  </si>
  <si>
    <t xml:space="preserve">S14</t>
  </si>
  <si>
    <t xml:space="preserve">Business e-mail compromise diverts vendor or billing payments</t>
  </si>
  <si>
    <t xml:space="preserve">CVSS:4.0/AV:N/AC:L/AT:N/PR:N/UI:A/VC:N/VI:L/VA:N/SC:N/SI:N/SA:N</t>
  </si>
  <si>
    <t xml:space="preserve">S15</t>
  </si>
  <si>
    <t xml:space="preserve">Lost or stolen tablet or handheld exposes patient data</t>
  </si>
  <si>
    <t xml:space="preserve">CVSS:4.0/AV:P/AC:L/AT:N/PR:N/UI:N/VC:H/VI:N/VA:N/SC:N/SI:N/SA:N</t>
  </si>
  <si>
    <t xml:space="preserve">S16</t>
  </si>
  <si>
    <t xml:space="preserve">Loss of the Montreal hub or WAN isolates clinics from central clinical systems</t>
  </si>
  <si>
    <t xml:space="preserve">CVSS:4.0/AV:N/AC:L/AT:P/PR:N/UI:N/VC:N/VI:N/VA:H/SC:N/SI:N/SA:H</t>
  </si>
  <si>
    <t xml:space="preserve">S17</t>
  </si>
  <si>
    <t xml:space="preserve">Unmanaged patient data on local clinic storage is exposed or lost</t>
  </si>
  <si>
    <t xml:space="preserve">CVSS:4.0/AV:A/AC:L/AT:N/PR:L/UI:N/VC:H/VI:L/VA:L/SC:N/SI:N/SA:N</t>
  </si>
  <si>
    <t xml:space="preserve">S18</t>
  </si>
  <si>
    <t xml:space="preserve">Web application flaw in the patient portal exposes other patients' records</t>
  </si>
  <si>
    <t xml:space="preserve">S19</t>
  </si>
  <si>
    <t xml:space="preserve">Trojanized software update from a clinical or IT software supplier</t>
  </si>
  <si>
    <t xml:space="preserve">CVSS:4.0/AV:N/AC:H/AT:P/PR:N/UI:N/VC:H/VI:H/VA:H/SC:H/SI:H/SA:H</t>
  </si>
  <si>
    <t xml:space="preserve">S20</t>
  </si>
  <si>
    <t xml:space="preserve">Takeover of cloud tenant administration through token theft or malicious app consent</t>
  </si>
  <si>
    <t xml:space="preserve">CVSS:4.0/AV:N/AC:L/AT:N/PR:N/UI:A/VC:H/VI:H/VA:H/SC:H/SI:H/SA:H</t>
  </si>
  <si>
    <t xml:space="preserve">S21</t>
  </si>
  <si>
    <t xml:space="preserve">Accidental disclosure of patient information by staff</t>
  </si>
  <si>
    <t xml:space="preserve">CVSS:4.0/AV:N/AC:L/AT:N/PR:L/UI:A/VC:L/VI:N/VA:N/SC:N/SI:N/SA:N</t>
  </si>
  <si>
    <t xml:space="preserve">S22</t>
  </si>
  <si>
    <t xml:space="preserve">Interception or exposure of teleconsultations and clinical messaging</t>
  </si>
  <si>
    <t xml:space="preserve">CVSS:4.0/AV:N/AC:L/AT:P/PR:N/UI:N/VC:H/VI:N/VA:N/SC:N/SI:N/SA:N</t>
  </si>
  <si>
    <t xml:space="preserve">S23</t>
  </si>
  <si>
    <t xml:space="preserve">Brute force or credential stuffing against exposed administrative interfaces</t>
  </si>
  <si>
    <t xml:space="preserve">CVSS:4.0/AV:N/AC:L/AT:P/PR:N/UI:N/VC:H/VI:H/VA:H/SC:H/SI:H/SA:H</t>
  </si>
  <si>
    <t xml:space="preserve">S24</t>
  </si>
  <si>
    <t xml:space="preserve">Malware introduced through patient-supplied imaging media or USB devices</t>
  </si>
  <si>
    <t xml:space="preserve">CVSS:4.0/AV:P/AC:L/AT:N/PR:N/UI:P/VC:H/VI:H/VA:H/SC:L/SI:L/SA:L</t>
  </si>
  <si>
    <t xml:space="preserve">S25</t>
  </si>
  <si>
    <t xml:space="preserve">Retired devices or medical equipment released with recoverable patient data</t>
  </si>
  <si>
    <t xml:space="preserve">S26</t>
  </si>
  <si>
    <t xml:space="preserve">Staff paste patient data into unapproved generative-AI tools</t>
  </si>
  <si>
    <t xml:space="preserve">CVSS:4.0/AV:N/AC:L/AT:P/PR:L/UI:N/VC:H/VI:N/VA:N/SC:N/SI:N/SA:N</t>
  </si>
  <si>
    <t xml:space="preserve">S27</t>
  </si>
  <si>
    <t xml:space="preserve">Help-desk impersonation leads to MFA reset and account takeover</t>
  </si>
  <si>
    <t xml:space="preserve">CVSS:4.0/AV:N/AC:L/AT:N/PR:N/UI:A/VC:H/VI:H/VA:L/SC:H/SI:L/SA:L</t>
  </si>
  <si>
    <t xml:space="preserve">S28</t>
  </si>
  <si>
    <t xml:space="preserve">Malicious or departing IT administrator sabotages systems</t>
  </si>
  <si>
    <t xml:space="preserve">CVSS:4.0/AV:N/AC:L/AT:N/PR:H/UI:N/VC:H/VI:H/VA:H/SC:H/SI:H/SA:H</t>
  </si>
  <si>
    <t xml:space="preserve">S29</t>
  </si>
  <si>
    <t xml:space="preserve">Interception or tampering of unencrypted clinical interface traffic (HL7/DICOM)</t>
  </si>
  <si>
    <t xml:space="preserve">CVSS:4.0/AV:A/AC:L/AT:P/PR:N/UI:N/VC:H/VI:H/VA:N/SC:N/SI:H/SA:N</t>
  </si>
  <si>
    <t xml:space="preserve">S30</t>
  </si>
  <si>
    <t xml:space="preserve">Criminals impersonate MediBec to defraud or phish patients</t>
  </si>
  <si>
    <t xml:space="preserve">CVSS:4.0/AV:N/AC:L/AT:N/PR:N/UI:A/VC:L/VI:L/VA:N/SC:N/SI:N/SA:N</t>
  </si>
  <si>
    <t xml:space="preserve">Recommended treatment portfolio (indicative CAD estimates - not quotations or approved budgets)</t>
  </si>
  <si>
    <t xml:space="preserve">Initiative</t>
  </si>
  <si>
    <t xml:space="preserve">Owner</t>
  </si>
  <si>
    <t xml:space="preserve">Priority</t>
  </si>
  <si>
    <t xml:space="preserve">Type</t>
  </si>
  <si>
    <t xml:space="preserve">Initial cost</t>
  </si>
  <si>
    <t xml:space="preserve">Recurring / yr</t>
  </si>
  <si>
    <t xml:space="preserve">Year-1 cost</t>
  </si>
  <si>
    <t xml:space="preserve"># scenarios</t>
  </si>
  <si>
    <t xml:space="preserve">Y1 per scenario</t>
  </si>
  <si>
    <t xml:space="preserve">Start</t>
  </si>
  <si>
    <t xml:space="preserve">End</t>
  </si>
  <si>
    <t xml:space="preserve">Success indicator</t>
  </si>
  <si>
    <t xml:space="preserve">I01</t>
  </si>
  <si>
    <t xml:space="preserve">Phishing-resistant MFA and conditional access</t>
  </si>
  <si>
    <t xml:space="preserve">CIO / Cybersecurity lead</t>
  </si>
  <si>
    <t xml:space="preserve">Immediate</t>
  </si>
  <si>
    <t xml:space="preserve">Prevention</t>
  </si>
  <si>
    <t xml:space="preserve">Month 0</t>
  </si>
  <si>
    <t xml:space="preserve">Month 6</t>
  </si>
  <si>
    <t xml:space="preserve">100% privileged and remote-access accounts on phishing-resistant MFA</t>
  </si>
  <si>
    <t xml:space="preserve">I02</t>
  </si>
  <si>
    <t xml:space="preserve">Privileged access and service-account management (PAM)</t>
  </si>
  <si>
    <t xml:space="preserve">Cybersecurity lead</t>
  </si>
  <si>
    <t xml:space="preserve">Near-term</t>
  </si>
  <si>
    <t xml:space="preserve">Prevention / Governance</t>
  </si>
  <si>
    <t xml:space="preserve">Month 2</t>
  </si>
  <si>
    <t xml:space="preserve">Month 12</t>
  </si>
  <si>
    <t xml:space="preserve">0 standing domain-admin accounts; 100% service accounts vaulted</t>
  </si>
  <si>
    <t xml:space="preserve">I03</t>
  </si>
  <si>
    <t xml:space="preserve">24/7 managed detection and response with centralized logging</t>
  </si>
  <si>
    <t xml:space="preserve">Detection / Response</t>
  </si>
  <si>
    <t xml:space="preserve">MTTD &lt; 1 h, MTTC &lt; 4 h for high-severity alerts; &gt;95% critical log sources</t>
  </si>
  <si>
    <t xml:space="preserve">I04</t>
  </si>
  <si>
    <t xml:space="preserve">Immutable and isolated backup with tested recovery</t>
  </si>
  <si>
    <t xml:space="preserve">CIO (Infrastructure)</t>
  </si>
  <si>
    <t xml:space="preserve">Recovery / Resilience</t>
  </si>
  <si>
    <t xml:space="preserve">Month 9</t>
  </si>
  <si>
    <t xml:space="preserve">100% crown-jewel restore tests pass within RTO</t>
  </si>
  <si>
    <t xml:space="preserve">I05</t>
  </si>
  <si>
    <t xml:space="preserve">Risk-based vulnerability and patch management</t>
  </si>
  <si>
    <t xml:space="preserve">Month 1</t>
  </si>
  <si>
    <t xml:space="preserve">&gt;95% critical vulns remediated within SLA; 0 unsupported internet-facing systems</t>
  </si>
  <si>
    <t xml:space="preserve">I06</t>
  </si>
  <si>
    <t xml:space="preserve">Network segmentation and network access control</t>
  </si>
  <si>
    <t xml:space="preserve">Planned</t>
  </si>
  <si>
    <t xml:space="preserve">Prevention / Resilience</t>
  </si>
  <si>
    <t xml:space="preserve">Month 24</t>
  </si>
  <si>
    <t xml:space="preserve">100% medical devices and guest Wi-Fi in isolated segments</t>
  </si>
  <si>
    <t xml:space="preserve">I07</t>
  </si>
  <si>
    <t xml:space="preserve">Medical device security programme</t>
  </si>
  <si>
    <t xml:space="preserve">Biomedical engineering / Clinical Ops</t>
  </si>
  <si>
    <t xml:space="preserve">Identify / Detection</t>
  </si>
  <si>
    <t xml:space="preserve">Month 3</t>
  </si>
  <si>
    <t xml:space="preserve">100% networked devices inventoried and risk-rated</t>
  </si>
  <si>
    <t xml:space="preserve">I08</t>
  </si>
  <si>
    <t xml:space="preserve">Cloud security posture and secure image transfer</t>
  </si>
  <si>
    <t xml:space="preserve">CIO / Radiology lead</t>
  </si>
  <si>
    <t xml:space="preserve">Prevention / Detection</t>
  </si>
  <si>
    <t xml:space="preserve">0 publicly accessible storage objects; 100% object access logged</t>
  </si>
  <si>
    <t xml:space="preserve">I09</t>
  </si>
  <si>
    <t xml:space="preserve">Data access governance and EHR privacy monitoring</t>
  </si>
  <si>
    <t xml:space="preserve">Privacy officer / CIO</t>
  </si>
  <si>
    <t xml:space="preserve">Governance / Detection</t>
  </si>
  <si>
    <t xml:space="preserve">100% EHR roles recertified quarterly; bulk-access alerts reviewed within 24 h</t>
  </si>
  <si>
    <t xml:space="preserve">I10</t>
  </si>
  <si>
    <t xml:space="preserve">Third-party cyber risk management</t>
  </si>
  <si>
    <t xml:space="preserve">Procurement / Cybersecurity lead</t>
  </si>
  <si>
    <t xml:space="preserve">Governance</t>
  </si>
  <si>
    <t xml:space="preserve">100% critical vendors assessed and under revised clauses</t>
  </si>
  <si>
    <t xml:space="preserve">I11</t>
  </si>
  <si>
    <t xml:space="preserve">Incident response and clinical continuity readiness</t>
  </si>
  <si>
    <t xml:space="preserve">Cybersecurity lead / Clinical Ops</t>
  </si>
  <si>
    <t xml:space="preserve">Response / Resilience</t>
  </si>
  <si>
    <t xml:space="preserve">2 tabletops/year; all 10 clinics with tested downtime procedures</t>
  </si>
  <si>
    <t xml:space="preserve">I12</t>
  </si>
  <si>
    <t xml:space="preserve">Governance, awareness and risk reporting</t>
  </si>
  <si>
    <t xml:space="preserve">Cybersecurity lead / Executive sponsor</t>
  </si>
  <si>
    <t xml:space="preserve">Quarterly KRI report delivered; phishing report rate &gt; 70%</t>
  </si>
  <si>
    <t xml:space="preserve">I13</t>
  </si>
  <si>
    <t xml:space="preserve">Clinical data integrity controls</t>
  </si>
  <si>
    <t xml:space="preserve">CIO / Clinical Ops / Pharmacy lead</t>
  </si>
  <si>
    <t xml:space="preserve">Detection / Recovery</t>
  </si>
  <si>
    <t xml:space="preserve">Month 15</t>
  </si>
  <si>
    <t xml:space="preserve">100% critical record changes attributable and reconciled</t>
  </si>
  <si>
    <t xml:space="preserve">I14</t>
  </si>
  <si>
    <t xml:space="preserve">Application security and secrets management</t>
  </si>
  <si>
    <t xml:space="preserve">CIO (Application development)</t>
  </si>
  <si>
    <t xml:space="preserve">0 unresolved exposed secrets; 0 open critical pen-test findings &gt; 30 days</t>
  </si>
  <si>
    <t xml:space="preserve">I15</t>
  </si>
  <si>
    <t xml:space="preserve">DDoS protection, CDN and web application firewall</t>
  </si>
  <si>
    <t xml:space="preserve">CIO</t>
  </si>
  <si>
    <t xml:space="preserve">Month 4</t>
  </si>
  <si>
    <t xml:space="preserve">Public services protected; DDoS runbook tested</t>
  </si>
  <si>
    <t xml:space="preserve">I16</t>
  </si>
  <si>
    <t xml:space="preserve">Payment-fraud controls and e-mail authentication</t>
  </si>
  <si>
    <t xml:space="preserve">Finance lead / Cybersecurity lead</t>
  </si>
  <si>
    <t xml:space="preserve">100% bank changes verified; DMARC enforced on all domains</t>
  </si>
  <si>
    <t xml:space="preserve">I17</t>
  </si>
  <si>
    <t xml:space="preserve">Mobile device management, encryption and secure disposal</t>
  </si>
  <si>
    <t xml:space="preserve">CIO (Support)</t>
  </si>
  <si>
    <t xml:space="preserve">100% mobile devices enrolled; 100% disposals certified</t>
  </si>
  <si>
    <t xml:space="preserve">I18</t>
  </si>
  <si>
    <t xml:space="preserve">Network and hosting resilience</t>
  </si>
  <si>
    <t xml:space="preserve">Resilience</t>
  </si>
  <si>
    <t xml:space="preserve">Month 20</t>
  </si>
  <si>
    <t xml:space="preserve">Clinics maintain EHR read access through a hub failure test</t>
  </si>
  <si>
    <t xml:space="preserve">I19</t>
  </si>
  <si>
    <t xml:space="preserve">Data lifecycle and minimization</t>
  </si>
  <si>
    <t xml:space="preserve">Local PHI stores reduced by 80%; retention schedule applied</t>
  </si>
  <si>
    <t xml:space="preserve">I20</t>
  </si>
  <si>
    <t xml:space="preserve">Responsible use of generative AI</t>
  </si>
  <si>
    <t xml:space="preserve">Privacy officer / CMO</t>
  </si>
  <si>
    <t xml:space="preserve">Governance / Prevention</t>
  </si>
  <si>
    <t xml:space="preserve">Approved tool available; blocked PHI uploads to unapproved AI trending down</t>
  </si>
  <si>
    <t xml:space="preserve">I21</t>
  </si>
  <si>
    <t xml:space="preserve">Help-desk identity verification</t>
  </si>
  <si>
    <t xml:space="preserve">100% resets follow verified procedure (sample audit)</t>
  </si>
  <si>
    <t xml:space="preserve">I22</t>
  </si>
  <si>
    <t xml:space="preserve">Secure clinical communications and interfaces</t>
  </si>
  <si>
    <t xml:space="preserve">CIO (Integration) / Clinical Ops</t>
  </si>
  <si>
    <t xml:space="preserve">100% clinical interfaces encrypted; consumer apps retired for PHI</t>
  </si>
  <si>
    <t xml:space="preserve">I23</t>
  </si>
  <si>
    <t xml:space="preserve">Brand protection and patient anti-fraud communication</t>
  </si>
  <si>
    <t xml:space="preserve">Communications lead</t>
  </si>
  <si>
    <t xml:space="preserve">Takedown within 48 h of detection; patient notice published</t>
  </si>
  <si>
    <t xml:space="preserve">TOTAL (each initiative counted once)</t>
  </si>
  <si>
    <t xml:space="preserve">Check: sum of scenario allocations - portfolio Year-1 total (should be 0)</t>
  </si>
  <si>
    <t xml:space="preserve">Allocation assumption: each initiative's Year-1 cost is split equally across the scenarios it addresses, so shared controls are never charged in full to several scenarios.</t>
  </si>
  <si>
    <t xml:space="preserve">Cyber-insurance premium is excluded (Information gap - broker quotation required).</t>
  </si>
  <si>
    <t xml:space="preserve">Sensitivity - lower / central / higher cases</t>
  </si>
  <si>
    <t xml:space="preserve">Lower case: Pb(A), Pb(psi,A), de, dm -delta; theta +delta; reductions +delta. Higher case: the reverse. Values clamped to [0.05, 0.99].</t>
  </si>
  <si>
    <t xml:space="preserve">Case</t>
  </si>
  <si>
    <t xml:space="preserve">Shift</t>
  </si>
  <si>
    <t xml:space="preserve">mu</t>
  </si>
  <si>
    <t xml:space="preserve">CVSS</t>
  </si>
  <si>
    <t xml:space="preserve">P red</t>
  </si>
  <si>
    <t xml:space="preserve">I red</t>
  </si>
  <si>
    <t xml:space="preserve">Estimated</t>
  </si>
  <si>
    <t xml:space="preserve">Tolerated</t>
  </si>
  <si>
    <t xml:space="preserve">Ratio</t>
  </si>
  <si>
    <t xml:space="preserve">Lower</t>
  </si>
  <si>
    <t xml:space="preserve">Central</t>
  </si>
  <si>
    <t xml:space="preserve">Higher</t>
  </si>
  <si>
    <t xml:space="preserve">Appetite sensitivity (central parameters): ratio at alternative appetite values</t>
  </si>
  <si>
    <t xml:space="preserve">Appetite 0.20</t>
  </si>
  <si>
    <t xml:space="preserve">Appetite 0.30</t>
  </si>
  <si>
    <t xml:space="preserve">Appetite 0.40</t>
  </si>
  <si>
    <t xml:space="preserve">Case-native escalation view (Business case s.8) - secondary cross-check</t>
  </si>
  <si>
    <t xml:space="preserve">Normalized residual = T x E x I x (1 - C), with T = Pb(A), E = Pb(psi,A), I = (de+dm)/2, C (control maturity) proxied by theta. Post-treatment = current x (1 - P x Q). Analyst mapping - validate.</t>
  </si>
  <si>
    <t xml:space="preserve">T</t>
  </si>
  <si>
    <t xml:space="preserve">E</t>
  </si>
  <si>
    <t xml:space="preserve">I</t>
  </si>
  <si>
    <t xml:space="preserve">C (theta)</t>
  </si>
  <si>
    <t xml:space="preserve">Current residual</t>
  </si>
  <si>
    <t xml:space="preserve">Level</t>
  </si>
  <si>
    <t xml:space="preserve">Post-treatment residual</t>
  </si>
  <si>
    <t xml:space="preserve">Acceptance authority (post)</t>
  </si>
  <si>
    <t xml:space="preserve">Library ref</t>
  </si>
  <si>
    <t xml:space="preserve">Statement</t>
  </si>
  <si>
    <t xml:space="preserve">Threat source</t>
  </si>
  <si>
    <t xml:space="preserve">Vulnerabilities / conditions</t>
  </si>
  <si>
    <t xml:space="preserve">Existing controls (evidence)</t>
  </si>
  <si>
    <t xml:space="preserve">Treatment package</t>
  </si>
  <si>
    <t xml:space="preserve">Initiatives</t>
  </si>
  <si>
    <t xml:space="preserve">Risk owner</t>
  </si>
  <si>
    <t xml:space="preserve">Horizon</t>
  </si>
  <si>
    <t xml:space="preserve">CVSS rationale</t>
  </si>
  <si>
    <t xml:space="preserve">MED-CYR-01 / 12</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</si>
  <si>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</si>
  <si>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Cybercriminal (initial-access broker or ransomware affiliate).</t>
  </si>
  <si>
    <t xml:space="preserve">Push-based MFA without number matching or phishing resistance (E6 - validate); No evidence of conditional access (geo/device) policies; Internet-sourced macro documents reach users (E6); Awareness programme maturity unknown (Information gap)</t>
  </si>
  <si>
    <t xml:space="preserve">Email filtering / antimalware (E2 - effectiveness unknown); MFA push on remote access (E6); EDR alerting (E6 - triage weak)</t>
  </si>
  <si>
    <t xml:space="preserve">Phishing-resistant MFA and conditional access (I01) is the primary lever; PAM (I02) limits blast radius; MDR (I03) shortens dwell time; awareness and reporting (I12).</t>
  </si>
  <si>
    <t xml:space="preserve">I01, I02, I03, I12</t>
  </si>
  <si>
    <t xml:space="preserve">0-6 months</t>
  </si>
  <si>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</si>
  <si>
    <t xml:space="preserve">MED-CYR-02</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</si>
  <si>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</si>
  <si>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Ransomware-as-a-service affiliate (double extortion).</t>
  </si>
  <si>
    <t xml:space="preserve">Macro execution and weak alert triage (E6); Segmentation between clinics, servers and backups not evidenced (E2, E7); Privileged credential hygiene unknown (Information gap); Clinic downtime procedures untested (E7)</t>
  </si>
  <si>
    <t xml:space="preserve">Firewalls, IDS/IPS, antimalware (E2); EDR (E6); On-site and off-site backups (E2 - isolation and testing unknown); Incident command structure defined (E6 - untested)</t>
  </si>
  <si>
    <t xml:space="preserve">Layered: MDR/EDR (I03), PAM (I02), segmentation (I06), immutable backup (I04), patching (I05), IR and downtime procedures (I11), awareness (I12). Residual remains material - consider cyber-insurance transfer.</t>
  </si>
  <si>
    <t xml:space="preserve">I02, I03, I04, I05, I06, I11, I12</t>
  </si>
  <si>
    <t xml:space="preserve">Executive leadership (COO) with CIO</t>
  </si>
  <si>
    <t xml:space="preserve">0-24 months</t>
  </si>
  <si>
    <t xml:space="preserve">Representative weakness: malicious macro document leading to code execution (initial vector in E6). AV:L - the document is delivered by e-mail but opened locally on the workstation (FIRST CVSS v4.0 user guide: document-based weaknesses are Local whatever the delivery channel); AC:L; AT:N; PR:N; UI:P user opens the document; VC/VI/VA:H on the workstation; SC/SI/SA:H because EHR and clinic systems are subsequently affected. CVSS describes the entry weakness only, not the enterprise impact.</t>
  </si>
  <si>
    <t xml:space="preserve">MED-CYR-07</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</si>
  <si>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</si>
  <si>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Ransomware operator or other attacker with administrative access.</t>
  </si>
  <si>
    <t xml:space="preserve">Backup consoles authenticated through production directory (Analyst assumption - validate); No immutable or offline copy evidenced; Restore testing and RTO/RPO not evidenced (E7); Backup failure alerts not escalated (E6)</t>
  </si>
  <si>
    <t xml:space="preserve">On-site and off-site backups (E2); Encrypted storage (E2)</t>
  </si>
  <si>
    <t xml:space="preserve">Immutable/offline copies with separate backup identity (I04), segmentation (I06), PAM (I02), backup-alert monitoring (I03), quarterly restore tests and IR integration (I11).</t>
  </si>
  <si>
    <t xml:space="preserve">I02, I03, I04, I06, I11</t>
  </si>
  <si>
    <t xml:space="preserve">0-9 months</t>
  </si>
  <si>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</si>
  <si>
    <t xml:space="preserve">MED-CYR-03</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</si>
  <si>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</si>
  <si>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Opportunistic scanner or cybercriminal data broker.</t>
  </si>
  <si>
    <t xml:space="preserve">Permissive or long-lived sharing links (Analyst assumption); No cloud posture management evidenced; Object-level access logging unknown (E4); Exports contain identifiers alongside images</t>
  </si>
  <si>
    <t xml:space="preserve">Encrypted storage (E2 - at-rest only, not access control); Cloud access via identity (E2)</t>
  </si>
  <si>
    <t xml:space="preserve">Block public access and enforce expiring authenticated links (I08); DLP and data minimization in exports (I09); object-access logging to MDR (I03).</t>
  </si>
  <si>
    <t xml:space="preserve">I03, I08, I09</t>
  </si>
  <si>
    <t xml:space="preserve">CIO with Privacy officer</t>
  </si>
  <si>
    <t xml:space="preserve">Representative weakness: storage object accessible without authentication (CWE-284 misconfiguration). AV:N, AC:L, AT:N, PR:N, UI:N; confidentiality only (VC:H).</t>
  </si>
  <si>
    <t xml:space="preserve">MED-CYR-11 (+ service-account evidence)</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</si>
  <si>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</si>
  <si>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Malicious or negligent insider; external actor using a service account.</t>
  </si>
  <si>
    <t xml:space="preserve">Broad role-based access in EHR (Analyst assumption); Over-privileged service account without vaulting (E6); No EHR access analytics or periodic recertification evidenced (E7); No DLP evidenced</t>
  </si>
  <si>
    <t xml:space="preserve">EHR audit log exists (E6); Encrypted storage (E2)</t>
  </si>
  <si>
    <t xml:space="preserve">Least-privilege redesign and access recertification plus EHR access analytics and DLP (I09); vault and restrict service accounts (I02); MDR use-cases (I03); HR/awareness (I12).</t>
  </si>
  <si>
    <t xml:space="preserve">I02, I03, I09, I12</t>
  </si>
  <si>
    <t xml:space="preserve">Privacy officer</t>
  </si>
  <si>
    <t xml:space="preserve">3-12 months</t>
  </si>
  <si>
    <t xml:space="preserve">Limited applicability: insider misuse is not a software vulnerability. Representative weakness used for the workbook: excessive privileges on an authenticated account (CWE-269). PR:L legitimate low-privilege access; VC:H bulk read; VI:L. Interpret with caution.</t>
  </si>
  <si>
    <t xml:space="preserve">MED-CYR-06</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</si>
  <si>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</si>
  <si>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Cybercriminal / state-linked actor using public exploits.</t>
  </si>
  <si>
    <t xml:space="preserve">Patch SLAs and exception governance not evidenced (E7); Incomplete asset inventory (E4); Possible end-of-life systems (Information gap)</t>
  </si>
  <si>
    <t xml:space="preserve">Firewalls, IDS/IPS (E2); Antimalware (E2)</t>
  </si>
  <si>
    <t xml:space="preserve">Risk-based vulnerability and patch management with KEV SLAs and EOL retirement (I05); segmentation behind the edge (I06); MDR threat hunting (I03).</t>
  </si>
  <si>
    <t xml:space="preserve">I03, I05, I06</t>
  </si>
  <si>
    <t xml:space="preserve">1-9 months</t>
  </si>
  <si>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</si>
  <si>
    <t xml:space="preserve">MED-CYR-09 (+ Wi-Fi path MED-CYR-05)</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</si>
  <si>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</si>
  <si>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Cybercriminal (opportunistic or during ransomware operation).</t>
  </si>
  <si>
    <t xml:space="preserve">Incomplete device inventory (E4); Embedded OS patching restricted by certification (E3); Devices and guest/clinical Wi-Fi not segmented (E4, E7 - validate); Default credentials (Analyst assumption)</t>
  </si>
  <si>
    <t xml:space="preserve">Firewalls and IDS/IPS at hub (E2 - east-west coverage unknown)</t>
  </si>
  <si>
    <t xml:space="preserve">Medical device security programme (I07), segmentation and NAC including guest Wi-Fi isolation (I06), patch/compensating controls (I05). Residual depends on manufacturers.</t>
  </si>
  <si>
    <t xml:space="preserve">I05, I06, I07</t>
  </si>
  <si>
    <t xml:space="preserve">Clinical Ops with Biomedical engineering</t>
  </si>
  <si>
    <t xml:space="preserve">3-24 months</t>
  </si>
  <si>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</si>
  <si>
    <t xml:space="preserve">MED-CYR-08 / 15</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</si>
  <si>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</si>
  <si>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Any external actor (amplifier scenario).</t>
  </si>
  <si>
    <t xml:space="preserve">No 24/7 monitoring (E3 - inferred); Alert triage criteria weak (E6); Log coverage and retention unknown (E4); IR plan untested; decision rights unclear (E8)</t>
  </si>
  <si>
    <t xml:space="preserve">IDS/IPS (E2); EDR (E6); Incident command roles defined (E6)</t>
  </si>
  <si>
    <t xml:space="preserve">24/7 MDR with centralized logging and escalation criteria (I03); IR plan, playbooks, retainer and tabletop exercises across clinics (I11); governance reporting (I12).</t>
  </si>
  <si>
    <t xml:space="preserve">I01, I03, I11, I12</t>
  </si>
  <si>
    <t xml:space="preserve">Limited applicability: a detection gap is a control weakness, not a vulnerability. Representative weakness for the workbook: the undetected initial code-execution vector (macro/PowerShell, E6); AV:L because the malicious document is opened locally. Do not interpret the score as the severity of the detection gap.</t>
  </si>
  <si>
    <t xml:space="preserve">MED-CYR-14</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</si>
  <si>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</si>
  <si>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Supply-chain attacker (cybercriminal or state-linked).</t>
  </si>
  <si>
    <t xml:space="preserve">Standing vendor remote access (Analyst assumption); No vendor tiering or assessments evidenced (E7); Incident-notification clauses unknown (E5); Vendor sessions not brokered or recorded</t>
  </si>
  <si>
    <t xml:space="preserve">Firewalls (E2); Vendor coordination role defined for incidents (E6)</t>
  </si>
  <si>
    <t xml:space="preserve">Third-party risk programme and contract clauses (I10); vendor access only through PAM with MFA and recording (I01/I02); MDR monitoring of vendor sessions (I03); joint IR (I11). Residual largely outside MediBec's control - consider contractual and insurance transfer.</t>
  </si>
  <si>
    <t xml:space="preserve">I01, I02, I03, I10, I11</t>
  </si>
  <si>
    <t xml:space="preserve">Procurement with CIO</t>
  </si>
  <si>
    <t xml:space="preserve">2-12 months</t>
  </si>
  <si>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</si>
  <si>
    <t xml:space="preserve">MED-CYR-13</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</si>
  <si>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</si>
  <si>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External attacker (extortion or sabotage) or malicious insider.</t>
  </si>
  <si>
    <t xml:space="preserve">No integrity monitoring or reconciliation evidenced (E8); Broad write privileges (Analyst assumption); Audit trail review not evidenced; Post-restore integrity verification absent</t>
  </si>
  <si>
    <t xml:space="preserve">EHR audit logging (E6); Encrypted storage (E2 - no integrity protection)</t>
  </si>
  <si>
    <t xml:space="preserve">Integrity monitoring and reconciliation (I13), least-privilege write access (I09/I02), strong authentication (I01), backup-based verification (I04), MDR (I03), clinical playbook (I11).</t>
  </si>
  <si>
    <t xml:space="preserve">I01, I02, I03, I04, I09, I11, I13</t>
  </si>
  <si>
    <t xml:space="preserve">Clinical Ops (CMO)</t>
  </si>
  <si>
    <t xml:space="preserve">3-15 months</t>
  </si>
  <si>
    <t xml:space="preserve">Representative weakness: authenticated user able to modify records beyond need (improper authorization, CWE-285). PR:L; VI:H; SI:H because pharmacy/lab downstream systems consume the altered data.</t>
  </si>
  <si>
    <t xml:space="preserve">MED-CYR-04</t>
  </si>
  <si>
    <t xml:space="preserve">An opportunistic actor finds an API key, database connection string or cloud access token that a developer committed to a code repository, left in a log or embedded in a configuration file, and uses it to call MediBec's EHR integration or cloud storage APIs directly, extracting patient data without passing through user authentication.</t>
  </si>
  <si>
    <t xml:space="preserve">Opportunistic actor scanning public repositories and paste sites; cybercriminal.</t>
  </si>
  <si>
    <t xml:space="preserve">No secret scanning or vault evidenced (E7); Long-lived API keys without rotation (Analyst assumption); API calls not monitored for anomalous volume (E7); Development practices and repository visibility unknown (Information gap)</t>
  </si>
  <si>
    <t xml:space="preserve">Encrypted storage (E2 - does not protect against valid-key access)</t>
  </si>
  <si>
    <t xml:space="preserve">Secret scanning in repositories and pipelines, central vault with short-lived tokens and rotation (I14); API anomaly monitoring (I03); scoped cloud keys (I08).</t>
  </si>
  <si>
    <t xml:space="preserve">I03, I08, I14</t>
  </si>
  <si>
    <t xml:space="preserve">3-9 months</t>
  </si>
  <si>
    <t xml:space="preserve">Representative weakness: hard-coded credential (CWE-798). AT:P the attacker must first obtain the leaked secret; PR:N once held, no further privileges needed; VC:H data access; VI:L limited write scope.</t>
  </si>
  <si>
    <t xml:space="preserve">MED-CYR-05</t>
  </si>
  <si>
    <t xml:space="preserve">An attacker in or near a clinic exploits weak wireless security, an unsegmented guest network or a rogue access point to join the clinic network, intercept credentials and reach EHR workstations and local storage.</t>
  </si>
  <si>
    <t xml:space="preserve">Local attacker (visitor, patient, passer-by) or opportunistic cybercriminal.</t>
  </si>
  <si>
    <t xml:space="preserve">Guest and clinical Wi-Fi segmentation not evidenced (E7); Wireless standard and key management unknown (Information gap); No rogue AP detection evidenced; Flat clinic LAN (Analyst assumption, see S7)</t>
  </si>
  <si>
    <t xml:space="preserve">Firewalls and IDS/IPS at the Montreal hub (E2 - clinic-level coverage unknown)</t>
  </si>
  <si>
    <t xml:space="preserve">WPA3-Enterprise for staff, isolated internet-only guest Wi-Fi, rogue AP detection and NAC (I06); monitoring of clinic segments (I03).</t>
  </si>
  <si>
    <t xml:space="preserve">I03, I06</t>
  </si>
  <si>
    <t xml:space="preserve">6-18 months</t>
  </si>
  <si>
    <t xml:space="preserve">Representative weakness: weak wireless authentication with guest-to-internal routing. AV:A adjacent (radio range); VC/VI:L on the WLAN itself; SC:H clinical systems reachable behind it.</t>
  </si>
  <si>
    <t xml:space="preserve">MED-CYR-10</t>
  </si>
  <si>
    <t xml:space="preserve">A hacktivist or extortion group floods MediBec's internet-facing services with traffic, making online appointment booking, patient records access and external communications unavailable for hours or days and pushing volume to clinic phone lines.</t>
  </si>
  <si>
    <t xml:space="preserve">Hacktivist or DDoS-for-extortion group.</t>
  </si>
  <si>
    <t xml:space="preserve">No DDoS mitigation service evidenced; Single internet egress via Montreal hub (E2); No provider coordination plan evidenced</t>
  </si>
  <si>
    <t xml:space="preserve">Firewalls, IDS/IPS (E2 - not designed for volumetric attacks)</t>
  </si>
  <si>
    <t xml:space="preserve">Upstream DDoS mitigation, CDN and WAF for public services, separate egress for clinic cloud traffic (I15); provider escalation and communications playbook (I11).</t>
  </si>
  <si>
    <t xml:space="preserve">I11, I15</t>
  </si>
  <si>
    <t xml:space="preserve">Limited applicability: volumetric DDoS exploits capacity, not a software flaw. Representative weakness: service without rate limiting or upstream mitigation (CWE-770). Availability only.</t>
  </si>
  <si>
    <t xml:space="preserve">Annex B #71</t>
  </si>
  <si>
    <t xml:space="preserve">A fraudster spoofs or compromises a supplier or executive mailbox and instructs MediBec finance staff to change bank details or pay a fraudulent invoice, because payment-change verification and e-mail authentication are weak, resulting in direct financial loss.</t>
  </si>
  <si>
    <t xml:space="preserve">Organized fraud group.</t>
  </si>
  <si>
    <t xml:space="preserve">No out-of-band payment-change verification evidenced; DMARC enforcement unknown; Billing staff targeted by phishing (E6)</t>
  </si>
  <si>
    <t xml:space="preserve">E-mail filtering (E2 - effectiveness unknown)</t>
  </si>
  <si>
    <t xml:space="preserve">Mandatory call-back verification on bank-detail changes and dual approval above threshold, DMARC enforcement, BEC detection (I16); finance-specific awareness (I12).</t>
  </si>
  <si>
    <t xml:space="preserve">I12, I16</t>
  </si>
  <si>
    <t xml:space="preserve">Finance lead (CFO)</t>
  </si>
  <si>
    <t xml:space="preserve">0-3 months</t>
  </si>
  <si>
    <t xml:space="preserve">Limited applicability: payment fraud is a process weakness. Representative weakness: spoofable sender domain without enforced DMARC. UI:A staff must act on the instruction; VI:L data changed. The low score understates business impact - rely on damage estimates.</t>
  </si>
  <si>
    <t xml:space="preserve">Annex B #7</t>
  </si>
  <si>
    <t xml:space="preserve">A clinician's tablet or handheld used for EHR access is lost or stolen; because device encryption, screen lock and remote wipe are not centrally enforced, patient data cached on the device or accessible through saved sessions is exposed.</t>
  </si>
  <si>
    <t xml:space="preserve">Opportunistic thief; accidental loss.</t>
  </si>
  <si>
    <t xml:space="preserve">MDM, device encryption and remote wipe not evidenced; Persistent EHR sessions on mobile devices (Analyst assumption); Loss-reporting procedure unknown</t>
  </si>
  <si>
    <t xml:space="preserve">Encrypted central storage (E2)</t>
  </si>
  <si>
    <t xml:space="preserve">MDM with enforced encryption, PIN, session timeout, remote wipe and loss-reporting workflow (I17).</t>
  </si>
  <si>
    <t xml:space="preserve">Representative weakness: missing encryption of sensitive data at rest on the device (CWE-311). AV:P physical possession required; confidentiality only.</t>
  </si>
  <si>
    <t xml:space="preserve">Annex B #5, #49</t>
  </si>
  <si>
    <t xml:space="preserve">A carrier failure, cyberattack on network devices or data-centre incident takes the Montreal hub or WAN offline; because clinics depend on a single hub without tested redundancy or local fallback, EHR, imaging, lab and pharmacy access is lost at all ten clinics simultaneously.</t>
  </si>
  <si>
    <t xml:space="preserve">Accidental/environmental event, carrier failure, or attacker targeting network infrastructure.</t>
  </si>
  <si>
    <t xml:space="preserve">Single hub and possibly single carrier (Analyst assumption); Firewall redundancy unknown (Annex B #5); No alternate processing site evidenced; Clinic downtime procedures untested (E7)</t>
  </si>
  <si>
    <t xml:space="preserve">High-speed fibre links (E2); Off-site backups (E2 - restore time unknown)</t>
  </si>
  <si>
    <t xml:space="preserve">Dual carriers / SD-WAN, firewall high availability, cloud or secondary-site failover for EHR read access (I18); tested clinic downtime procedures (I11).</t>
  </si>
  <si>
    <t xml:space="preserve">I11, I18</t>
  </si>
  <si>
    <t xml:space="preserve">CIO (Infrastructure) with Clinical Ops</t>
  </si>
  <si>
    <t xml:space="preserve">6-24 months</t>
  </si>
  <si>
    <t xml:space="preserve">Limited applicability: architectural dependency, largely non-malicious. Representative weakness: denial of service against a single edge device with no redundancy (AT:P specific conditions); VA:H and SA:H for downstream systems.</t>
  </si>
  <si>
    <t xml:space="preserve">Annex B #55, #111</t>
  </si>
  <si>
    <t xml:space="preserve">Patient exports, scanned documents and imaging copies accumulate on local clinic storage units outside central access control, retention and monitoring; an insider, intruder or misconfigured share exposes them, or they are lost without backup.</t>
  </si>
  <si>
    <t xml:space="preserve">Curious or malicious insider; intruder; accidental misconfiguration.</t>
  </si>
  <si>
    <t xml:space="preserve">Data sprawl without inventory (E4); Permissive share permissions (Analyst assumption); Retention schedule not evidenced; Local backup reliability questionable (E6)</t>
  </si>
  <si>
    <t xml:space="preserve">Encrypted storage (E2); On-site and off-site backups (E2)</t>
  </si>
  <si>
    <t xml:space="preserve">Data discovery, consolidation of local data into managed central stores, least-privilege shares, retention schedule (I19); encrypted and managed endpoints/storage (I17).</t>
  </si>
  <si>
    <t xml:space="preserve">I17, I19</t>
  </si>
  <si>
    <t xml:space="preserve">Privacy officer with CIO</t>
  </si>
  <si>
    <t xml:space="preserve">Representative weakness: incorrect default permissions on network shares (CWE-276). AV:A clinic network; PR:L any domain user.</t>
  </si>
  <si>
    <t xml:space="preserve">Annex B #171, #83</t>
  </si>
  <si>
    <t xml:space="preserve">An attacker, or a curious patient, exploits an authorization flaw (insecure direct object reference) or injection weakness in MediBec's online records-access or booking application, retrieving other patients' records at scale.</t>
  </si>
  <si>
    <t xml:space="preserve">External attacker or curious authenticated patient.</t>
  </si>
  <si>
    <t xml:space="preserve">No application penetration testing evidenced; Secure SDLC not evidenced (E7); No WAF evidenced; Application logging for enumeration unknown</t>
  </si>
  <si>
    <t xml:space="preserve">Firewalls, IDS/IPS (E2 - limited for application logic)</t>
  </si>
  <si>
    <t xml:space="preserve">Annual application penetration testing and secure SDLC (I14), WAF with rate limiting (I15), scanning of web tier (I05), enumeration detection (I03).</t>
  </si>
  <si>
    <t xml:space="preserve">I03, I05, I14, I15</t>
  </si>
  <si>
    <t xml:space="preserve">CIO (Application owner)</t>
  </si>
  <si>
    <t xml:space="preserve">Representative weakness: authorization bypass through user-controlled key (CWE-639). PR:L any patient account; VC:H cross-patient data.</t>
  </si>
  <si>
    <t xml:space="preserve">Annex B #40, #99</t>
  </si>
  <si>
    <t xml:space="preserve">A threat actor compromises the build or update infrastructure of software used by MediBec (EHR component, imaging viewer, remote-management tool) and distributes a signed malicious update, which MediBec installs automatically, giving the actor a foothold across many systems at once.</t>
  </si>
  <si>
    <t xml:space="preserve">State-linked or advanced criminal supply-chain actor.</t>
  </si>
  <si>
    <t xml:space="preserve">Automatic updates without staging (Analyst assumption); No software bill of materials or supplier assurance (E7); Limited egress filtering from servers (Analyst assumption)</t>
  </si>
  <si>
    <t xml:space="preserve">Antimalware (E2 - signed updates usually bypass it); EDR (E6)</t>
  </si>
  <si>
    <t xml:space="preserve">Supplier assurance and staged updates for critical software (I10); egress control and behavioural detection (I03); rebuild playbook (I11). Prevention is largely outside MediBec's control - transfer and acceptance required.</t>
  </si>
  <si>
    <t xml:space="preserve">I03, I10, I11</t>
  </si>
  <si>
    <t xml:space="preserve">CIO with Procurement</t>
  </si>
  <si>
    <t xml:space="preserve">Limited applicability: supplier compromise. Representative weakness: download of code without integrity check (CWE-494). AC:H and AT:P - the supplier's pipeline must be compromised first.</t>
  </si>
  <si>
    <t xml:space="preserve">Annex B #29, #144</t>
  </si>
  <si>
    <t xml:space="preserve">An attacker steals a session token or tricks a cloud administrator into granting consent to a malicious application, obtaining persistent control of MediBec's cloud tenant, from which they read mail and files, create backdoor accounts and disable logging.</t>
  </si>
  <si>
    <t xml:space="preserve">Cybercriminal or state-linked actor.</t>
  </si>
  <si>
    <t xml:space="preserve">Token-theft-resistant controls (device binding, conditional access) not evidenced; Users can consent to third-party apps (Analyst assumption); Cloud admin roles not separated or JIT (E7); Cloud audit logs not centralised (E4)</t>
  </si>
  <si>
    <t xml:space="preserve">MFA push (E6); Cloud identity (E2)</t>
  </si>
  <si>
    <t xml:space="preserve">Phishing-resistant MFA and token-binding conditional access (I01), JIT cloud admin roles and admin-consent workflow (I02), cloud posture baseline (I08), cloud audit logs to MDR (I03).</t>
  </si>
  <si>
    <t xml:space="preserve">I01, I02, I03, I08</t>
  </si>
  <si>
    <t xml:space="preserve">Representative weakness: session token not bound to device, reusable after MFA (CWE-294-type). UI:A admin must interact with the lure; all impacts High because the control plane governs subsequent systems.</t>
  </si>
  <si>
    <t xml:space="preserve">Annex B #14, #54</t>
  </si>
  <si>
    <t xml:space="preserve">A staff member unintentionally discloses patient information - misdirected e-mail or fax, wrong attachment, record uploaded to a personal cloud, or document handed to the wrong patient - because data-handling controls and awareness are limited, resulting in privacy incidents and patient complaints.</t>
  </si>
  <si>
    <t xml:space="preserve">Negligent insider (human error).</t>
  </si>
  <si>
    <t xml:space="preserve">No DLP or recipient warnings evidenced; Role-based privacy training unknown (E7); Use of fax/e-mail for referrals (Analyst assumption)</t>
  </si>
  <si>
    <t xml:space="preserve">Privacy and compliance function (E4 in s.4)</t>
  </si>
  <si>
    <t xml:space="preserve">Outbound DLP and recipient warnings (I09), secure referral channel replacing fax/e-mail and data minimization (I19), role-based privacy training (I12).</t>
  </si>
  <si>
    <t xml:space="preserve">I09, I12, I19</t>
  </si>
  <si>
    <t xml:space="preserve">Limited applicability: human error. Representative weakness: absence of outbound data-loss safeguards for an authenticated user. The score is low by design; business impact is captured in damage estimates.</t>
  </si>
  <si>
    <t xml:space="preserve">Annex B #146, #105, #173</t>
  </si>
  <si>
    <t xml:space="preserve">An outsider joins or records a teleconsultation through an open meeting link, or intercepts clinical messages sent through unapproved or poorly configured communication tools, exposing sensitive consultations.</t>
  </si>
  <si>
    <t xml:space="preserve">Opportunistic intruder; curious third party.</t>
  </si>
  <si>
    <t xml:space="preserve">Meeting links without waiting room or authentication (Analyst assumption); Use of consumer messaging apps by clinicians (Analyst assumption); Communication platform configuration baseline not evidenced</t>
  </si>
  <si>
    <t xml:space="preserve">Communication systems in place (E2 - security settings unknown)</t>
  </si>
  <si>
    <t xml:space="preserve">Approved telehealth and messaging platform with authenticated entry, waiting rooms, encryption and configuration baseline; ban on consumer apps for PHI (I22).</t>
  </si>
  <si>
    <t xml:space="preserve">Clinical Ops with CIO</t>
  </si>
  <si>
    <t xml:space="preserve">3-6 months</t>
  </si>
  <si>
    <t xml:space="preserve">Representative weakness: missing authentication for a meeting resource (CWE-306). AT:P attacker must obtain the link.</t>
  </si>
  <si>
    <t xml:space="preserve">Annex B #82, #90, #22</t>
  </si>
  <si>
    <t xml:space="preserve">An attacker finds management interfaces (remote desktop, hypervisor or firewall consoles, storage or out-of-band management) exposed to the internet or partner networks and gains access by credential stuffing or default passwords, obtaining administrative control of infrastructure.</t>
  </si>
  <si>
    <t xml:space="preserve">Cybercriminal / initial-access broker.</t>
  </si>
  <si>
    <t xml:space="preserve">Unknown internet-exposed services (E4); Admin interfaces without MFA (Analyst assumption); Default or reused credentials (Analyst assumption); No external attack-surface monitoring evidenced</t>
  </si>
  <si>
    <t xml:space="preserve">Firewalls (E2); IDS/IPS (E2)</t>
  </si>
  <si>
    <t xml:space="preserve">External attack-surface management and removal of exposed interfaces (I05), MFA and PAM-brokered admin access (I01, I02), monitoring of admin logins (I03).</t>
  </si>
  <si>
    <t xml:space="preserve">I01, I02, I03, I05</t>
  </si>
  <si>
    <t xml:space="preserve">Representative weakness: exposed management interface with weak or default credentials (CWE-1392/521). AT:P - success depends on a guessable credential.</t>
  </si>
  <si>
    <t xml:space="preserve">Annex B #168</t>
  </si>
  <si>
    <t xml:space="preserve">Malware on a patient-supplied imaging CD/USB or a staff USB drive executes on a radiology workstation or device console when the media is loaded, infecting systems that are poorly protected by endpoint security and connected to the clinical network.</t>
  </si>
  <si>
    <t xml:space="preserve">Commodity malware (often unintentional carriers).</t>
  </si>
  <si>
    <t xml:space="preserve">Autorun or unrestricted media import on imaging workstations (Analyst assumption); Device consoles without EDR (E4); No kiosk for media scanning evidenced</t>
  </si>
  <si>
    <t xml:space="preserve">Antimalware (E2 - coverage of device consoles unknown)</t>
  </si>
  <si>
    <t xml:space="preserve">Media-scanning kiosk and device control, EDR where supported (I03), medical device hardening (I07), isolating imaging segments (I06), staff procedure (I12).</t>
  </si>
  <si>
    <t xml:space="preserve">I03, I06, I07, I12</t>
  </si>
  <si>
    <t xml:space="preserve">Radiology lead with Cybersecurity lead</t>
  </si>
  <si>
    <t xml:space="preserve">Representative weakness: automatic execution of content from removable media. AV:P media inserted physically; UI:P staff loads it.</t>
  </si>
  <si>
    <t xml:space="preserve">Annex B #132, #138</t>
  </si>
  <si>
    <t xml:space="preserve">Workstations, drives, printers, storage units or medical equipment are returned to lessors, sold or recycled without certified data sanitization, and a third party recovers patient data from them.</t>
  </si>
  <si>
    <t xml:space="preserve">Downstream buyer, recycler or researcher.</t>
  </si>
  <si>
    <t xml:space="preserve">No certified sanitization process evidenced; Leased device return process (Analyst assumption); Asset inventory incomplete (E4)</t>
  </si>
  <si>
    <t xml:space="preserve">Encrypted storage for central data (E2 - not necessarily device drives)</t>
  </si>
  <si>
    <t xml:space="preserve">Certified sanitization with certificates of destruction, lease-return clauses, full-disk encryption on all devices (I17, I19).</t>
  </si>
  <si>
    <t xml:space="preserve">CIO with Biomedical engineering</t>
  </si>
  <si>
    <t xml:space="preserve">Representative weakness: sensitive information in resource not removed before reuse (CWE-226). AV:P physical possession.</t>
  </si>
  <si>
    <t xml:space="preserve">Annex B #141</t>
  </si>
  <si>
    <t xml:space="preserve">Clinicians and administrative staff use public generative-AI tools to summarize notes, draft letters or translate documents, pasting identifiable patient information into services whose data retention, training use and location MediBec has not assessed, resulting in uncontrolled disclosure of health information.</t>
  </si>
  <si>
    <t xml:space="preserve">Well-intentioned insider; AI service provider handling.</t>
  </si>
  <si>
    <t xml:space="preserve">No AI acceptable-use policy evidenced; No approved alternative tool; Web DLP / category controls not evidenced; Awareness content does not cover AI (Analyst assumption)</t>
  </si>
  <si>
    <t xml:space="preserve">Privacy and compliance function (s.4)</t>
  </si>
  <si>
    <t xml:space="preserve">AI acceptable-use policy, sanctioned privacy-assessed AI tool, web category controls and DLP for AI sites (I20, I09), training (I12).</t>
  </si>
  <si>
    <t xml:space="preserve">I09, I12, I20</t>
  </si>
  <si>
    <t xml:space="preserve">Privacy officer with CMO</t>
  </si>
  <si>
    <t xml:space="preserve">Limited applicability: policy and data-governance gap. Representative weakness: exposure of sensitive information to an unauthorized actor via unrestricted egress (CWE-200). AT:P - harm depends on provider retention.</t>
  </si>
  <si>
    <t xml:space="preserve">Annex B #96 (social engineering)</t>
  </si>
  <si>
    <t xml:space="preserve">An attacker phones the IT help desk impersonating a clinician or manager, uses publicly available details to pass weak identity checks, and has the password and MFA device reset, taking over the account and accessing EHR and remote access.</t>
  </si>
  <si>
    <t xml:space="preserve">Social-engineering-capable cybercriminal group.</t>
  </si>
  <si>
    <t xml:space="preserve">Help-desk verification based on knowable data (Analyst assumption); No manager or video verification for MFA resets; No alerting on MFA device changes (E7)</t>
  </si>
  <si>
    <t xml:space="preserve">MFA push (E6)</t>
  </si>
  <si>
    <t xml:space="preserve">Strong help-desk verification (call-back, manager approval, video ID) for resets (I21), phishing-resistant authenticators that cannot be re-enrolled by phone (I01), alerts on MFA changes and awareness (I12).</t>
  </si>
  <si>
    <t xml:space="preserve">I01, I12, I21</t>
  </si>
  <si>
    <t xml:space="preserve">Limited applicability: process weakness. Representative weakness: weak authentication of the account-recovery process (CWE-640). UI:A help-desk agent acts.</t>
  </si>
  <si>
    <t xml:space="preserve">Annex B #15, #115</t>
  </si>
  <si>
    <t xml:space="preserve">A disgruntled or departing IT administrator with broad standing privileges deletes backups, disables accounts or plants logic bombs; with a 15-person IT team and concentrated knowledge, MediBec cannot quickly detect or reverse the actions, causing prolonged outages.</t>
  </si>
  <si>
    <t xml:space="preserve">Malicious privileged insider.</t>
  </si>
  <si>
    <t xml:space="preserve">Standing domain-admin rights (Analyst assumption); No monitoring of admin actions (Annex B #115); Weak offboarding of privileged users (Analyst assumption); Backups deletable by same admins (see S3)</t>
  </si>
  <si>
    <t xml:space="preserve">Backups (E2)</t>
  </si>
  <si>
    <t xml:space="preserve">PAM with JIT and session recording, separation of duties (I02), monitoring of admin actions (I03), immutable backups outside admin reach (I04), HR-IT offboarding playbook (I11).</t>
  </si>
  <si>
    <t xml:space="preserve">I02, I03, I04, I11</t>
  </si>
  <si>
    <t xml:space="preserve">CIO with HR</t>
  </si>
  <si>
    <t xml:space="preserve">Limited applicability: insider abuse of legitimate privileges. Representative weakness: excessive standing privileges (CWE-250). PR:H administrator.</t>
  </si>
  <si>
    <t xml:space="preserve">Annex B #153, #176</t>
  </si>
  <si>
    <t xml:space="preserve">An attacker positioned on the clinic network or WAN captures or alters unencrypted HL7 lab/pharmacy messages or DICOM image transfers between clinical systems, exposing results or injecting false values that flow into the EHR.</t>
  </si>
  <si>
    <t xml:space="preserve">Attacker with internal network position (following S2, S7, S12).</t>
  </si>
  <si>
    <t xml:space="preserve">Cleartext HL7/DICOM (Analyst assumption); No message integrity validation (Analyst assumption); Flat network allowing interception (see S7)</t>
  </si>
  <si>
    <t xml:space="preserve">Firewalls and IDS/IPS (E2)</t>
  </si>
  <si>
    <t xml:space="preserve">TLS/VPN for HL7 and DICOM, interface-engine hardening (I22), segmentation (I06), reconciliation of results (I13).</t>
  </si>
  <si>
    <t xml:space="preserve">I06, I13, I22</t>
  </si>
  <si>
    <t xml:space="preserve">CIO (Integration) with Laboratory lead</t>
  </si>
  <si>
    <t xml:space="preserve">6-15 months</t>
  </si>
  <si>
    <t xml:space="preserve">Representative weakness: cleartext transmission of sensitive information (CWE-319) without integrity check (CWE-353). AV:A adjacent; AT:P attacker must be on path; SI:H downstream EHR.</t>
  </si>
  <si>
    <t xml:space="preserve">Appendix A domain; Annex B #65, #71</t>
  </si>
  <si>
    <t xml:space="preserve">Fraudsters register look-alike domains and send SMS or e-mail messages posing as MediBec (appointment confirmations, billing notices, results available) to harvest patients' credentials, health-card details or payments, harming patients and eroding trust even though MediBec's systems are not breached.</t>
  </si>
  <si>
    <t xml:space="preserve">Fraud group.</t>
  </si>
  <si>
    <t xml:space="preserve">No look-alike domain monitoring or takedown (E6); DMARC enforcement unknown; No published patient communication standard (e.g. 'we never ask for...')</t>
  </si>
  <si>
    <t xml:space="preserve">None evidenced</t>
  </si>
  <si>
    <t xml:space="preserve">Look-alike domain monitoring and takedown, verified sender channels, patient communication standard and awareness notices (I23), DMARC enforcement (I16), staff reporting (I12).</t>
  </si>
  <si>
    <t xml:space="preserve">I12, I16, I23</t>
  </si>
  <si>
    <t xml:space="preserve">Limited applicability: impersonation outside MediBec's systems. Representative weakness: sender domain spoofable without enforced DMARC. Business impact is captured by damage estimates, not CVSS.</t>
  </si>
  <si>
    <t xml:space="preserve">Candidate scenario</t>
  </si>
  <si>
    <t xml:space="preserve">Vulnerability / condition</t>
  </si>
  <si>
    <t xml:space="preserve">Primary asset</t>
  </si>
  <si>
    <t xml:space="preserve">Undesired outcome</t>
  </si>
  <si>
    <t xml:space="preserve">Decision</t>
  </si>
  <si>
    <t xml:space="preserve">Screening rationale</t>
  </si>
  <si>
    <t xml:space="preserve">C01</t>
  </si>
  <si>
    <t xml:space="preserve">Phishing-led compromise of clinic administrator credentials</t>
  </si>
  <si>
    <t xml:space="preserve">Cybercriminal</t>
  </si>
  <si>
    <t xml:space="preserve">Push-based MFA susceptible to fatigue; macro attachments delivered</t>
  </si>
  <si>
    <t xml:space="preserve">CJ5 / CJ1</t>
  </si>
  <si>
    <t xml:space="preserve">Unauthorized EHR and remote access</t>
  </si>
  <si>
    <t xml:space="preserve">MED-CYR-01, 12</t>
  </si>
  <si>
    <t xml:space="preserve">Selected (S1)</t>
  </si>
  <si>
    <t xml:space="preserve">Most frequent initial-access path; directly evidenced by injects E6.</t>
  </si>
  <si>
    <t xml:space="preserve">C02</t>
  </si>
  <si>
    <t xml:space="preserve">Ransomware encrypting EHR support systems, shared folders and scheduling</t>
  </si>
  <si>
    <t xml:space="preserve">Ransomware group</t>
  </si>
  <si>
    <t xml:space="preserve">Flat internal network; weak alert triage; backups reachable</t>
  </si>
  <si>
    <t xml:space="preserve">CJ1 / CJ3 / CJ6</t>
  </si>
  <si>
    <t xml:space="preserve">Multi-clinic disruption and data theft</t>
  </si>
  <si>
    <t xml:space="preserve">Selected (S2)</t>
  </si>
  <si>
    <t xml:space="preserve">Highest combined clinical, privacy and operational consequence.</t>
  </si>
  <si>
    <t xml:space="preserve">C03</t>
  </si>
  <si>
    <t xml:space="preserve">Backup environment compromised before encryption, recovery fails</t>
  </si>
  <si>
    <t xml:space="preserve">Ransomware group / privileged attacker</t>
  </si>
  <si>
    <t xml:space="preserve">Backups in same admin domain; restore testing not evidenced</t>
  </si>
  <si>
    <t xml:space="preserve">CJ6</t>
  </si>
  <si>
    <t xml:space="preserve">Prolonged outage, loss of recoverability</t>
  </si>
  <si>
    <t xml:space="preserve">Selected (S3)</t>
  </si>
  <si>
    <t xml:space="preserve">Determines whether S2 is survivable; backup failures in E6.</t>
  </si>
  <si>
    <t xml:space="preserve">C04</t>
  </si>
  <si>
    <t xml:space="preserve">Cloud medical-image transfer storage exposed or accessed externally</t>
  </si>
  <si>
    <t xml:space="preserve">Opportunistic actor / cybercriminal</t>
  </si>
  <si>
    <t xml:space="preserve">Permissive sharing, weak cloud logging and posture management</t>
  </si>
  <si>
    <t xml:space="preserve">CJ7</t>
  </si>
  <si>
    <t xml:space="preserve">Bulk health-data exposure</t>
  </si>
  <si>
    <t xml:space="preserve">Selected (S4)</t>
  </si>
  <si>
    <t xml:space="preserve">Large-volume PHI exposure; evidenced by unusual downloads (E6).</t>
  </si>
  <si>
    <t xml:space="preserve">C05</t>
  </si>
  <si>
    <t xml:space="preserve">API key committed to a code repository enables data access</t>
  </si>
  <si>
    <t xml:space="preserve">Opportunistic actor</t>
  </si>
  <si>
    <t xml:space="preserve">No secret scanning or vault evidenced</t>
  </si>
  <si>
    <t xml:space="preserve">CJ1 / CJ7</t>
  </si>
  <si>
    <t xml:space="preserve">Direct API data extraction</t>
  </si>
  <si>
    <t xml:space="preserve">Selected (S11)</t>
  </si>
  <si>
    <t xml:space="preserve">Now retained: portfolio of 30 allows coverage of development-related exposure.</t>
  </si>
  <si>
    <t xml:space="preserve">C06</t>
  </si>
  <si>
    <t xml:space="preserve">Clinic Wi-Fi compromise or rogue access point</t>
  </si>
  <si>
    <t xml:space="preserve">Local attacker</t>
  </si>
  <si>
    <t xml:space="preserve">Guest/clinical Wi-Fi segmentation not evidenced</t>
  </si>
  <si>
    <t xml:space="preserve">Clinic LAN</t>
  </si>
  <si>
    <t xml:space="preserve">Internal network foothold</t>
  </si>
  <si>
    <t xml:space="preserve">Selected (S12)</t>
  </si>
  <si>
    <t xml:space="preserve">Now retained as a distinct wireless entry path (S7 remains the device-safety scenario).</t>
  </si>
  <si>
    <t xml:space="preserve">C07</t>
  </si>
  <si>
    <t xml:space="preserve">Cybercriminal / state-linked actor</t>
  </si>
  <si>
    <t xml:space="preserve">Patch delays from uptime and vendor constraints</t>
  </si>
  <si>
    <t xml:space="preserve">CJ5 / CJ6</t>
  </si>
  <si>
    <t xml:space="preserve">Remote code execution and intrusion</t>
  </si>
  <si>
    <t xml:space="preserve">Selected (S6)</t>
  </si>
  <si>
    <t xml:space="preserve">Mass exploitation of edge devices is a leading entry vector; patching constraints documented (E3).</t>
  </si>
  <si>
    <t xml:space="preserve">C08</t>
  </si>
  <si>
    <t xml:space="preserve">Intrusion goes undetected because monitoring and triage are insufficient</t>
  </si>
  <si>
    <t xml:space="preserve">Any external actor</t>
  </si>
  <si>
    <t xml:space="preserve">2-person team, alert closed as low severity, log coverage unknown</t>
  </si>
  <si>
    <t xml:space="preserve">All</t>
  </si>
  <si>
    <t xml:space="preserve">Extended dwell time, amplified harm</t>
  </si>
  <si>
    <t xml:space="preserve">MED-CYR-08</t>
  </si>
  <si>
    <t xml:space="preserve">Selected (S8)</t>
  </si>
  <si>
    <t xml:space="preserve">Systemic amplifier; directly evidenced (E3, E6).</t>
  </si>
  <si>
    <t xml:space="preserve">C09</t>
  </si>
  <si>
    <t xml:space="preserve">Connected medical device used as network foothold</t>
  </si>
  <si>
    <t xml:space="preserve">Unpatched embedded OS, incomplete inventory, weak segmentation</t>
  </si>
  <si>
    <t xml:space="preserve">CJ8</t>
  </si>
  <si>
    <t xml:space="preserve">Device disruption, lateral movement</t>
  </si>
  <si>
    <t xml:space="preserve">MED-CYR-09</t>
  </si>
  <si>
    <t xml:space="preserve">Selected (S7)</t>
  </si>
  <si>
    <t xml:space="preserve">Only scenario with direct patient-safety pathway through equipment.</t>
  </si>
  <si>
    <t xml:space="preserve">C10</t>
  </si>
  <si>
    <t xml:space="preserve">DDoS against patient-facing online services</t>
  </si>
  <si>
    <t xml:space="preserve">Hacktivist / extortionist</t>
  </si>
  <si>
    <t xml:space="preserve">No DDoS protection evidenced</t>
  </si>
  <si>
    <t xml:space="preserve">CJ3</t>
  </si>
  <si>
    <t xml:space="preserve">Online booking unavailable</t>
  </si>
  <si>
    <t xml:space="preserve">Selected (S13)</t>
  </si>
  <si>
    <t xml:space="preserve">Now retained: availability of patient-facing services.</t>
  </si>
  <si>
    <t xml:space="preserve">C11</t>
  </si>
  <si>
    <t xml:space="preserve">Staff member exports health or billing records for unauthorized purposes</t>
  </si>
  <si>
    <t xml:space="preserve">Malicious or curious insider</t>
  </si>
  <si>
    <t xml:space="preserve">Broad EHR roles, limited access analytics</t>
  </si>
  <si>
    <t xml:space="preserve">CJ1 / CJ4</t>
  </si>
  <si>
    <t xml:space="preserve">Privacy breach</t>
  </si>
  <si>
    <t xml:space="preserve">MED-CYR-11</t>
  </si>
  <si>
    <t xml:space="preserve">Selected (S5, merged with C15)</t>
  </si>
  <si>
    <t xml:space="preserve">Common in healthcare; high regulatory significance.</t>
  </si>
  <si>
    <t xml:space="preserve">C12</t>
  </si>
  <si>
    <t xml:space="preserve">Alteration of patient, medication or billing records</t>
  </si>
  <si>
    <t xml:space="preserve">Attacker or insider</t>
  </si>
  <si>
    <t xml:space="preserve">Limited integrity monitoring and reconciliation</t>
  </si>
  <si>
    <t xml:space="preserve">CJ1 / CJ2</t>
  </si>
  <si>
    <t xml:space="preserve">Unsafe clinical decisions, billing errors</t>
  </si>
  <si>
    <t xml:space="preserve">Selected (S10)</t>
  </si>
  <si>
    <t xml:space="preserve">Lower likelihood but severe patient-safety consequence.</t>
  </si>
  <si>
    <t xml:space="preserve">C13</t>
  </si>
  <si>
    <t xml:space="preserve">Compromise of a vendor with remote access to MediBec systems</t>
  </si>
  <si>
    <t xml:space="preserve">Supply-chain attacker</t>
  </si>
  <si>
    <t xml:space="preserve">Standing vendor access, limited assurance</t>
  </si>
  <si>
    <t xml:space="preserve">CJ1 / CJ2 / CJ8</t>
  </si>
  <si>
    <t xml:space="preserve">Trusted-path intrusion</t>
  </si>
  <si>
    <t xml:space="preserve">Selected (S9)</t>
  </si>
  <si>
    <t xml:space="preserve">Many critical vendors (EHR, devices, cloud); controls largely absent.</t>
  </si>
  <si>
    <t xml:space="preserve">C14</t>
  </si>
  <si>
    <t xml:space="preserve">Untested incident response plan causes poor coordination</t>
  </si>
  <si>
    <t xml:space="preserve">Any incident</t>
  </si>
  <si>
    <t xml:space="preserve">No tabletop evidence across clinics</t>
  </si>
  <si>
    <t xml:space="preserve">Slow, uncoordinated response</t>
  </si>
  <si>
    <t xml:space="preserve">MED-CYR-15</t>
  </si>
  <si>
    <t xml:space="preserve">Merged into S8</t>
  </si>
  <si>
    <t xml:space="preserve">A resilience condition rather than a threat; combined with detection into one response-capacity scenario.</t>
  </si>
  <si>
    <t xml:space="preserve">C15</t>
  </si>
  <si>
    <t xml:space="preserve">Over-privileged service account (ehr-sync-svc) abused for mass extraction</t>
  </si>
  <si>
    <t xml:space="preserve">External attacker or insider</t>
  </si>
  <si>
    <t xml:space="preserve">Service account privileges, no vaulting</t>
  </si>
  <si>
    <t xml:space="preserve">CJ1</t>
  </si>
  <si>
    <t xml:space="preserve">Mass PHI extraction</t>
  </si>
  <si>
    <t xml:space="preserve">Evidence E6</t>
  </si>
  <si>
    <t xml:space="preserve">Merged into S5</t>
  </si>
  <si>
    <t xml:space="preserve">Same control family (privileged and legitimate-access misuse).</t>
  </si>
  <si>
    <t xml:space="preserve">C16</t>
  </si>
  <si>
    <t xml:space="preserve">Montreal data centre or WAN outage isolates all clinics</t>
  </si>
  <si>
    <t xml:space="preserve">Accidental / environmental</t>
  </si>
  <si>
    <t xml:space="preserve">Single hub dependency</t>
  </si>
  <si>
    <t xml:space="preserve">Enterprise-wide outage</t>
  </si>
  <si>
    <t xml:space="preserve">Annex B #49</t>
  </si>
  <si>
    <t xml:space="preserve">Selected (S16)</t>
  </si>
  <si>
    <t xml:space="preserve">Now retained as a resilience scenario (hub concentration).</t>
  </si>
  <si>
    <t xml:space="preserve">C17</t>
  </si>
  <si>
    <t xml:space="preserve">Unmanaged copies on local clinic storage units exposed</t>
  </si>
  <si>
    <t xml:space="preserve">Theft / insider</t>
  </si>
  <si>
    <t xml:space="preserve">Data sprawl, local storage outside central controls</t>
  </si>
  <si>
    <t xml:space="preserve">Clinic storage</t>
  </si>
  <si>
    <t xml:space="preserve">Local data breach</t>
  </si>
  <si>
    <t xml:space="preserve">Annex B #55</t>
  </si>
  <si>
    <t xml:space="preserve">Selected (S17)</t>
  </si>
  <si>
    <t xml:space="preserve">Now retained: data sprawl on local clinic storage.</t>
  </si>
  <si>
    <t xml:space="preserve">C18</t>
  </si>
  <si>
    <t xml:space="preserve">Business e-mail compromise diverts billing payments</t>
  </si>
  <si>
    <t xml:space="preserve">Fraudster</t>
  </si>
  <si>
    <t xml:space="preserve">Weak payment verification</t>
  </si>
  <si>
    <t xml:space="preserve">CJ4</t>
  </si>
  <si>
    <t xml:space="preserve">Financial loss</t>
  </si>
  <si>
    <t xml:space="preserve">Selected (S14)</t>
  </si>
  <si>
    <t xml:space="preserve">Now retained: direct financial loss pathway.</t>
  </si>
  <si>
    <t xml:space="preserve">C19</t>
  </si>
  <si>
    <t xml:space="preserve">Lost or stolen tablet or handheld with patient data</t>
  </si>
  <si>
    <t xml:space="preserve">Opportunistic thief</t>
  </si>
  <si>
    <t xml:space="preserve">Mobile device management not evidenced</t>
  </si>
  <si>
    <t xml:space="preserve">Endpoints</t>
  </si>
  <si>
    <t xml:space="preserve">Limited data exposure</t>
  </si>
  <si>
    <t xml:space="preserve">Selected (S15)</t>
  </si>
  <si>
    <t xml:space="preserve">Now retained: mobile endpoints used for EHR access.</t>
  </si>
  <si>
    <t xml:space="preserve">C20</t>
  </si>
  <si>
    <t xml:space="preserve">MFA push-fatigue bypass of remote access</t>
  </si>
  <si>
    <t xml:space="preserve">Push approval without number matching</t>
  </si>
  <si>
    <t xml:space="preserve">CJ5</t>
  </si>
  <si>
    <t xml:space="preserve">Account takeover</t>
  </si>
  <si>
    <t xml:space="preserve">Merged into S1</t>
  </si>
  <si>
    <t xml:space="preserve">Same causal chain as C01.</t>
  </si>
  <si>
    <t xml:space="preserve">C21</t>
  </si>
  <si>
    <t xml:space="preserve">Authorization flaw in patient portal exposes other patients' records</t>
  </si>
  <si>
    <t xml:space="preserve">External actor / patient</t>
  </si>
  <si>
    <t xml:space="preserve">No app testing or WAF</t>
  </si>
  <si>
    <t xml:space="preserve">CJ3 / CJ1</t>
  </si>
  <si>
    <t xml:space="preserve">Bulk record exposure</t>
  </si>
  <si>
    <t xml:space="preserve">Annex B #171</t>
  </si>
  <si>
    <t xml:space="preserve">Selected (S18)</t>
  </si>
  <si>
    <t xml:space="preserve">Public-facing, high privacy impact.</t>
  </si>
  <si>
    <t xml:space="preserve">C22</t>
  </si>
  <si>
    <t xml:space="preserve">Trojanized software update from a supplier</t>
  </si>
  <si>
    <t xml:space="preserve">Supply-chain actor</t>
  </si>
  <si>
    <t xml:space="preserve">Automatic updates, no supplier assurance</t>
  </si>
  <si>
    <t xml:space="preserve">Many hosts</t>
  </si>
  <si>
    <t xml:space="preserve">Enterprise foothold</t>
  </si>
  <si>
    <t xml:space="preserve">Annex B #40</t>
  </si>
  <si>
    <t xml:space="preserve">Selected (S19)</t>
  </si>
  <si>
    <t xml:space="preserve">Distinct from S9 (software path vs. remote-access path).</t>
  </si>
  <si>
    <t xml:space="preserve">C23</t>
  </si>
  <si>
    <t xml:space="preserve">Cloud tenant takeover via token theft or consent phishing</t>
  </si>
  <si>
    <t xml:space="preserve">Token not device-bound; user consent allowed</t>
  </si>
  <si>
    <t xml:space="preserve">CJ5 / CJ7</t>
  </si>
  <si>
    <t xml:space="preserve">Tenant-wide control</t>
  </si>
  <si>
    <t xml:space="preserve">Annex B #29</t>
  </si>
  <si>
    <t xml:space="preserve">Selected (S20)</t>
  </si>
  <si>
    <t xml:space="preserve">Control-plane risk distinct from S4 storage exposure and S1 clinical accounts.</t>
  </si>
  <si>
    <t xml:space="preserve">C24</t>
  </si>
  <si>
    <t xml:space="preserve">Misdirected e-mail/fax or wrong-patient disclosure</t>
  </si>
  <si>
    <t xml:space="preserve">Negligent insider</t>
  </si>
  <si>
    <t xml:space="preserve">No DLP, manual referrals</t>
  </si>
  <si>
    <t xml:space="preserve">Privacy incident</t>
  </si>
  <si>
    <t xml:space="preserve">Annex B #14</t>
  </si>
  <si>
    <t xml:space="preserve">Selected (S21)</t>
  </si>
  <si>
    <t xml:space="preserve">Most frequent privacy incident type.</t>
  </si>
  <si>
    <t xml:space="preserve">C25</t>
  </si>
  <si>
    <t xml:space="preserve">Teleconsultation or clinical messaging intercepted</t>
  </si>
  <si>
    <t xml:space="preserve">Opportunistic intruder</t>
  </si>
  <si>
    <t xml:space="preserve">Open meeting links, consumer apps</t>
  </si>
  <si>
    <t xml:space="preserve">Communications</t>
  </si>
  <si>
    <t xml:space="preserve">Sensitive disclosure</t>
  </si>
  <si>
    <t xml:space="preserve">Annex B #146</t>
  </si>
  <si>
    <t xml:space="preserve">Selected (S22)</t>
  </si>
  <si>
    <t xml:space="preserve">Communication systems flagged in E2.</t>
  </si>
  <si>
    <t xml:space="preserve">C26</t>
  </si>
  <si>
    <t xml:space="preserve">Exposed admin interfaces attacked with stuffed/default credentials</t>
  </si>
  <si>
    <t xml:space="preserve">Internet-exposed management ports</t>
  </si>
  <si>
    <t xml:space="preserve">Infrastructure takeover</t>
  </si>
  <si>
    <t xml:space="preserve">Annex B #82, #90</t>
  </si>
  <si>
    <t xml:space="preserve">Selected (S23)</t>
  </si>
  <si>
    <t xml:space="preserve">Misconfiguration path distinct from S6 (unpatched).</t>
  </si>
  <si>
    <t xml:space="preserve">C27</t>
  </si>
  <si>
    <t xml:space="preserve">Malware on patient-supplied imaging media</t>
  </si>
  <si>
    <t xml:space="preserve">Commodity malware</t>
  </si>
  <si>
    <t xml:space="preserve">Media import without scanning</t>
  </si>
  <si>
    <t xml:space="preserve">CJ2 / CJ8</t>
  </si>
  <si>
    <t xml:space="preserve">Imaging downtime</t>
  </si>
  <si>
    <t xml:space="preserve">Selected (S24)</t>
  </si>
  <si>
    <t xml:space="preserve">Healthcare-specific entry path.</t>
  </si>
  <si>
    <t xml:space="preserve">C28</t>
  </si>
  <si>
    <t xml:space="preserve">Data left on disposed devices and leased equipment</t>
  </si>
  <si>
    <t xml:space="preserve">Downstream buyer</t>
  </si>
  <si>
    <t xml:space="preserve">No certified sanitization</t>
  </si>
  <si>
    <t xml:space="preserve">Retired assets</t>
  </si>
  <si>
    <t xml:space="preserve">Annex B #138</t>
  </si>
  <si>
    <t xml:space="preserve">Selected (S25)</t>
  </si>
  <si>
    <t xml:space="preserve">Lifecycle gap; cheap to fix.</t>
  </si>
  <si>
    <t xml:space="preserve">C29</t>
  </si>
  <si>
    <t xml:space="preserve">Patient data pasted into public generative-AI tools</t>
  </si>
  <si>
    <t xml:space="preserve">Well-intentioned insider</t>
  </si>
  <si>
    <t xml:space="preserve">No AI policy or controls</t>
  </si>
  <si>
    <t xml:space="preserve">Uncontrolled disclosure</t>
  </si>
  <si>
    <t xml:space="preserve">Selected (S26)</t>
  </si>
  <si>
    <t xml:space="preserve">Emerging, high-frequency privacy risk.</t>
  </si>
  <si>
    <t xml:space="preserve">C30</t>
  </si>
  <si>
    <t xml:space="preserve">Help-desk vishing leads to MFA reset</t>
  </si>
  <si>
    <t xml:space="preserve">Social engineer</t>
  </si>
  <si>
    <t xml:space="preserve">Weak reset verification</t>
  </si>
  <si>
    <t xml:space="preserve">Annex B #96</t>
  </si>
  <si>
    <t xml:space="preserve">Selected (S27)</t>
  </si>
  <si>
    <t xml:space="preserve">Bypasses MFA investments in S1; distinct process weakness.</t>
  </si>
  <si>
    <t xml:space="preserve">C31</t>
  </si>
  <si>
    <t xml:space="preserve">Malicious or departing IT admin sabotage</t>
  </si>
  <si>
    <t xml:space="preserve">Privileged insider</t>
  </si>
  <si>
    <t xml:space="preserve">Standing privileges, weak offboarding</t>
  </si>
  <si>
    <t xml:space="preserve">Destructive outage</t>
  </si>
  <si>
    <t xml:space="preserve">Annex B #15</t>
  </si>
  <si>
    <t xml:space="preserve">Selected (S28)</t>
  </si>
  <si>
    <t xml:space="preserve">Low likelihood, extreme impact; key-person dependency.</t>
  </si>
  <si>
    <t xml:space="preserve">C32</t>
  </si>
  <si>
    <t xml:space="preserve">Interception/tampering of HL7/DICOM traffic</t>
  </si>
  <si>
    <t xml:space="preserve">Attacker with internal position</t>
  </si>
  <si>
    <t xml:space="preserve">Cleartext interfaces</t>
  </si>
  <si>
    <t xml:space="preserve">CJ2</t>
  </si>
  <si>
    <t xml:space="preserve">Wrong results</t>
  </si>
  <si>
    <t xml:space="preserve">Annex B #153</t>
  </si>
  <si>
    <t xml:space="preserve">Selected (S29)</t>
  </si>
  <si>
    <t xml:space="preserve">Integrity path distinct from S10 (record-level changes).</t>
  </si>
  <si>
    <t xml:space="preserve">C33</t>
  </si>
  <si>
    <t xml:space="preserve">Look-alike domains and smishing targeting patients</t>
  </si>
  <si>
    <t xml:space="preserve">Fraud group</t>
  </si>
  <si>
    <t xml:space="preserve">No brand monitoring, DMARC unknown</t>
  </si>
  <si>
    <t xml:space="preserve">Patient trust</t>
  </si>
  <si>
    <t xml:space="preserve">Patient fraud</t>
  </si>
  <si>
    <t xml:space="preserve">Appendix A</t>
  </si>
  <si>
    <t xml:space="preserve">Selected (S30)</t>
  </si>
  <si>
    <t xml:space="preserve">Look-alike domain already observed.</t>
  </si>
  <si>
    <t xml:space="preserve">C34</t>
  </si>
  <si>
    <t xml:space="preserve">Mass encryption of hypervisors</t>
  </si>
  <si>
    <t xml:space="preserve">Hypervisor management reachable</t>
  </si>
  <si>
    <t xml:space="preserve">Outage</t>
  </si>
  <si>
    <t xml:space="preserve">Annex B #44</t>
  </si>
  <si>
    <t xml:space="preserve">Merged into S2/S23</t>
  </si>
  <si>
    <t xml:space="preserve">Same outcome as S2; exposure path in S23.</t>
  </si>
  <si>
    <t xml:space="preserve">C35</t>
  </si>
  <si>
    <t xml:space="preserve">Active Directory misconfiguration enables domain takeover</t>
  </si>
  <si>
    <t xml:space="preserve">Any intruder</t>
  </si>
  <si>
    <t xml:space="preserve">No AD audits</t>
  </si>
  <si>
    <t xml:space="preserve">Domain dominance</t>
  </si>
  <si>
    <t xml:space="preserve">Annex B #186</t>
  </si>
  <si>
    <t xml:space="preserve">Merged into S2</t>
  </si>
  <si>
    <t xml:space="preserve">Escalation step within S2 chain; treated by I02.</t>
  </si>
  <si>
    <t xml:space="preserve">C36</t>
  </si>
  <si>
    <t xml:space="preserve">End-of-support workstation operating systems in clinics</t>
  </si>
  <si>
    <t xml:space="preserve">Unsupported OS</t>
  </si>
  <si>
    <t xml:space="preserve">Exploitation</t>
  </si>
  <si>
    <t xml:space="preserve">Annex B #79</t>
  </si>
  <si>
    <t xml:space="preserve">Merged into S6</t>
  </si>
  <si>
    <t xml:space="preserve">Covered by EOL element of S6 and KRI-04.</t>
  </si>
  <si>
    <t xml:space="preserve">C37</t>
  </si>
  <si>
    <t xml:space="preserve">Cryptomining on cloud or server resources</t>
  </si>
  <si>
    <t xml:space="preserve">Weak cloud controls</t>
  </si>
  <si>
    <t xml:space="preserve">Cloud</t>
  </si>
  <si>
    <t xml:space="preserve">Cost, slowdown</t>
  </si>
  <si>
    <t xml:space="preserve">Annex B #48</t>
  </si>
  <si>
    <t xml:space="preserve">Not selected</t>
  </si>
  <si>
    <t xml:space="preserve">Low consequence for mission.</t>
  </si>
  <si>
    <t xml:space="preserve">C38</t>
  </si>
  <si>
    <t xml:space="preserve">Skimming on online payment page</t>
  </si>
  <si>
    <t xml:space="preserve">Third-party scripts</t>
  </si>
  <si>
    <t xml:space="preserve">Online payments</t>
  </si>
  <si>
    <t xml:space="preserve">Card theft</t>
  </si>
  <si>
    <t xml:space="preserve">Annex B #63</t>
  </si>
  <si>
    <t xml:space="preserve">Card processing not evidenced; PCI out of scope.</t>
  </si>
  <si>
    <t xml:space="preserve">C39</t>
  </si>
  <si>
    <t xml:space="preserve">Physical intrusion into clinic server closet</t>
  </si>
  <si>
    <t xml:space="preserve">Thief / intruder</t>
  </si>
  <si>
    <t xml:space="preserve">Weak physical controls</t>
  </si>
  <si>
    <t xml:space="preserve">Clinic equipment</t>
  </si>
  <si>
    <t xml:space="preserve">Theft, tampering</t>
  </si>
  <si>
    <t xml:space="preserve">Annex B #121</t>
  </si>
  <si>
    <t xml:space="preserve">Physical security out of scope; partly covered by S15/S17 encryption.</t>
  </si>
  <si>
    <t xml:space="preserve">C40</t>
  </si>
  <si>
    <t xml:space="preserve">Insufficient logs to prove breach scope</t>
  </si>
  <si>
    <t xml:space="preserve">Short retention</t>
  </si>
  <si>
    <t xml:space="preserve">Unprovable scope</t>
  </si>
  <si>
    <t xml:space="preserve">Annex B #140</t>
  </si>
  <si>
    <t xml:space="preserve">Same control family (I03).</t>
  </si>
  <si>
    <t xml:space="preserve">C41</t>
  </si>
  <si>
    <t xml:space="preserve">Clinician mailbox compromise used to harvest PHI</t>
  </si>
  <si>
    <t xml:space="preserve">Push MFA</t>
  </si>
  <si>
    <t xml:space="preserve">Mail</t>
  </si>
  <si>
    <t xml:space="preserve">Breach</t>
  </si>
  <si>
    <t xml:space="preserve">Annex B #33</t>
  </si>
  <si>
    <t xml:space="preserve">Merged into S1/S20</t>
  </si>
  <si>
    <t xml:space="preserve">Same causal chain.</t>
  </si>
  <si>
    <t xml:space="preserve">C42</t>
  </si>
  <si>
    <t xml:space="preserve">AI scribe SaaS mishandles recordings</t>
  </si>
  <si>
    <t xml:space="preserve">Third party</t>
  </si>
  <si>
    <t xml:space="preserve">Unassessed vendor</t>
  </si>
  <si>
    <t xml:space="preserve">Merged into S26/S9</t>
  </si>
  <si>
    <t xml:space="preserve">Covered by AI governance and vendor risk.</t>
  </si>
  <si>
    <t xml:space="preserve">C43</t>
  </si>
  <si>
    <t xml:space="preserve">Building IoT or CCTV used as foothold</t>
  </si>
  <si>
    <t xml:space="preserve">Unmanaged IoT</t>
  </si>
  <si>
    <t xml:space="preserve">Foothold</t>
  </si>
  <si>
    <t xml:space="preserve">Annex B #43</t>
  </si>
  <si>
    <t xml:space="preserve">Merged into S7</t>
  </si>
  <si>
    <t xml:space="preserve">Same segmentation treatment.</t>
  </si>
  <si>
    <t xml:space="preserve">C44</t>
  </si>
  <si>
    <t xml:space="preserve">Excessive data retention amplifies breach size</t>
  </si>
  <si>
    <t xml:space="preserve">N/A (amplifier)</t>
  </si>
  <si>
    <t xml:space="preserve">No retention schedule</t>
  </si>
  <si>
    <t xml:space="preserve">All data</t>
  </si>
  <si>
    <t xml:space="preserve">Larger breaches</t>
  </si>
  <si>
    <t xml:space="preserve">Annex B #74</t>
  </si>
  <si>
    <t xml:space="preserve">Merged into S17</t>
  </si>
  <si>
    <t xml:space="preserve">Treated by I19.</t>
  </si>
  <si>
    <t xml:space="preserve">C45</t>
  </si>
  <si>
    <t xml:space="preserve">Firewall single point of failure</t>
  </si>
  <si>
    <t xml:space="preserve">Accidental / attacker</t>
  </si>
  <si>
    <t xml:space="preserve">No redundancy</t>
  </si>
  <si>
    <t xml:space="preserve">Annex B #5</t>
  </si>
  <si>
    <t xml:space="preserve">Merged into S16</t>
  </si>
  <si>
    <t xml:space="preserve">Same resilience treatment (I18).</t>
  </si>
  <si>
    <t xml:space="preserve">KRI</t>
  </si>
  <si>
    <t xml:space="preserve">Scenarios</t>
  </si>
  <si>
    <t xml:space="preserve">Measurement</t>
  </si>
  <si>
    <t xml:space="preserve">Data source</t>
  </si>
  <si>
    <t xml:space="preserve">Frequency</t>
  </si>
  <si>
    <t xml:space="preserve">Target</t>
  </si>
  <si>
    <t xml:space="preserve">Warning</t>
  </si>
  <si>
    <t xml:space="preserve">Critical</t>
  </si>
  <si>
    <t xml:space="preserve">KRI-01</t>
  </si>
  <si>
    <t xml:space="preserve">% privileged and remote-access accounts on phishing-resistant MFA</t>
  </si>
  <si>
    <t xml:space="preserve">S1, S8, S9</t>
  </si>
  <si>
    <t xml:space="preserve">Accounts with FIDO2 / total in-scope accounts</t>
  </si>
  <si>
    <t xml:space="preserve">IdP / directory report</t>
  </si>
  <si>
    <t xml:space="preserve">Monthly</t>
  </si>
  <si>
    <t xml:space="preserve">100%</t>
  </si>
  <si>
    <t xml:space="preserve">&lt; 95%</t>
  </si>
  <si>
    <t xml:space="preserve">&lt; 85%</t>
  </si>
  <si>
    <t xml:space="preserve">KRI-02</t>
  </si>
  <si>
    <t xml:space="preserve">Phishing simulation report rate / click rate</t>
  </si>
  <si>
    <t xml:space="preserve">S1, S2</t>
  </si>
  <si>
    <t xml:space="preserve">Reported vs clicked in simulations</t>
  </si>
  <si>
    <t xml:space="preserve">Awareness platform</t>
  </si>
  <si>
    <t xml:space="preserve">Quarterly</t>
  </si>
  <si>
    <t xml:space="preserve">&gt; 70% / &lt; 5%</t>
  </si>
  <si>
    <t xml:space="preserve">&lt; 50% / &gt; 8%</t>
  </si>
  <si>
    <t xml:space="preserve">&lt; 30% / &gt; 15%</t>
  </si>
  <si>
    <t xml:space="preserve">KRI-03</t>
  </si>
  <si>
    <t xml:space="preserve">% critical/known-exploited vulnerabilities remediated within SLA</t>
  </si>
  <si>
    <t xml:space="preserve">S6, S2</t>
  </si>
  <si>
    <t xml:space="preserve">Closed within SLA / total</t>
  </si>
  <si>
    <t xml:space="preserve">Vulnerability scanner</t>
  </si>
  <si>
    <t xml:space="preserve">&gt; 95%</t>
  </si>
  <si>
    <t xml:space="preserve">&lt; 90%</t>
  </si>
  <si>
    <t xml:space="preserve">&lt; 75%</t>
  </si>
  <si>
    <t xml:space="preserve">KRI-04</t>
  </si>
  <si>
    <t xml:space="preserve">Number of unsupported (end-of-life) systems on patient-data or internet-facing networks</t>
  </si>
  <si>
    <t xml:space="preserve">S6, S7</t>
  </si>
  <si>
    <t xml:space="preserve">Count from inventory</t>
  </si>
  <si>
    <t xml:space="preserve">CMDB / scanner</t>
  </si>
  <si>
    <t xml:space="preserve">0</t>
  </si>
  <si>
    <t xml:space="preserve">&gt;= 1</t>
  </si>
  <si>
    <t xml:space="preserve">&gt;= 5</t>
  </si>
  <si>
    <t xml:space="preserve">KRI-05</t>
  </si>
  <si>
    <t xml:space="preserve">Crown-jewel backup restore-test success rate within RTO</t>
  </si>
  <si>
    <t xml:space="preserve">S2, S3, S10</t>
  </si>
  <si>
    <t xml:space="preserve">Successful tests / tests run</t>
  </si>
  <si>
    <t xml:space="preserve">Backup platform, DR test records</t>
  </si>
  <si>
    <t xml:space="preserve">&lt; 80%</t>
  </si>
  <si>
    <t xml:space="preserve">KRI-06</t>
  </si>
  <si>
    <t xml:space="preserve">EDR and log coverage of critical assets</t>
  </si>
  <si>
    <t xml:space="preserve">S2, S8</t>
  </si>
  <si>
    <t xml:space="preserve">Assets reporting / inventory</t>
  </si>
  <si>
    <t xml:space="preserve">EDR console, SIEM</t>
  </si>
  <si>
    <t xml:space="preserve">&gt; 98%</t>
  </si>
  <si>
    <t xml:space="preserve">KRI-07</t>
  </si>
  <si>
    <t xml:space="preserve">Mean time to detect / contain high-severity incidents</t>
  </si>
  <si>
    <t xml:space="preserve">S8, S2</t>
  </si>
  <si>
    <t xml:space="preserve">Median hours from first signal to detection / containment</t>
  </si>
  <si>
    <t xml:space="preserve">MDR reports</t>
  </si>
  <si>
    <t xml:space="preserve">&lt; 1 h / &lt; 4 h</t>
  </si>
  <si>
    <t xml:space="preserve">&gt; 4 h / &gt; 24 h</t>
  </si>
  <si>
    <t xml:space="preserve">&gt; 24 h / &gt; 72 h</t>
  </si>
  <si>
    <t xml:space="preserve">KRI-08</t>
  </si>
  <si>
    <t xml:space="preserve">Publicly accessible cloud storage objects containing health data</t>
  </si>
  <si>
    <t xml:space="preserve">Count from CSPM</t>
  </si>
  <si>
    <t xml:space="preserve">CSPM</t>
  </si>
  <si>
    <t xml:space="preserve">Weekly</t>
  </si>
  <si>
    <t xml:space="preserve">&gt;= 1 with PHI</t>
  </si>
  <si>
    <t xml:space="preserve">KRI-09</t>
  </si>
  <si>
    <t xml:space="preserve">% EHR roles recertified and bulk-access alerts reviewed within 24 h</t>
  </si>
  <si>
    <t xml:space="preserve">S5, S10</t>
  </si>
  <si>
    <t xml:space="preserve">Recertified / total; reviewed / raised</t>
  </si>
  <si>
    <t xml:space="preserve">EHR access analytics, IAM</t>
  </si>
  <si>
    <t xml:space="preserve">KRI-10</t>
  </si>
  <si>
    <t xml:space="preserve">% networked medical devices inventoried and in isolated segments</t>
  </si>
  <si>
    <t xml:space="preserve">Segmented devices / inventoried</t>
  </si>
  <si>
    <t xml:space="preserve">IoMT monitoring, NAC</t>
  </si>
  <si>
    <t xml:space="preserve">Biomedical engineering</t>
  </si>
  <si>
    <t xml:space="preserve">&lt; 70%</t>
  </si>
  <si>
    <t xml:space="preserve">KRI-11</t>
  </si>
  <si>
    <t xml:space="preserve">% critical vendors assessed with current notification clauses</t>
  </si>
  <si>
    <t xml:space="preserve">Assessed / critical vendors</t>
  </si>
  <si>
    <t xml:space="preserve">TPRM register</t>
  </si>
  <si>
    <t xml:space="preserve">Procurement</t>
  </si>
  <si>
    <t xml:space="preserve">KRI-12</t>
  </si>
  <si>
    <t xml:space="preserve">Clinics with tested downtime procedures (last 12 months)</t>
  </si>
  <si>
    <t xml:space="preserve">Clinics tested / 10</t>
  </si>
  <si>
    <t xml:space="preserve">Tabletop records</t>
  </si>
  <si>
    <t xml:space="preserve">Clinical Ops</t>
  </si>
  <si>
    <t xml:space="preserve">Semi-annual</t>
  </si>
  <si>
    <t xml:space="preserve">10/10</t>
  </si>
  <si>
    <t xml:space="preserve">&lt; 8</t>
  </si>
  <si>
    <t xml:space="preserve">&lt; 5</t>
  </si>
  <si>
    <t xml:space="preserve">KRI-13</t>
  </si>
  <si>
    <t xml:space="preserve">Exposed secrets detected / unresolved &gt; 24 h</t>
  </si>
  <si>
    <t xml:space="preserve">Count from secret scanning</t>
  </si>
  <si>
    <t xml:space="preserve">Repository scanner</t>
  </si>
  <si>
    <t xml:space="preserve">CIO (Dev)</t>
  </si>
  <si>
    <t xml:space="preserve">0 unresolved</t>
  </si>
  <si>
    <t xml:space="preserve">&gt;= 1 with PHI scope</t>
  </si>
  <si>
    <t xml:space="preserve">KRI-14</t>
  </si>
  <si>
    <t xml:space="preserve">% bank-detail changes verified by call-back; DMARC policy</t>
  </si>
  <si>
    <t xml:space="preserve">S14, S30</t>
  </si>
  <si>
    <t xml:space="preserve">Verified / total; policy state</t>
  </si>
  <si>
    <t xml:space="preserve">Finance workflow, DNS</t>
  </si>
  <si>
    <t xml:space="preserve">Finance lead</t>
  </si>
  <si>
    <t xml:space="preserve">100%; reject</t>
  </si>
  <si>
    <t xml:space="preserve">&lt; 100%; quarantine</t>
  </si>
  <si>
    <t xml:space="preserve">&lt; 90%; none</t>
  </si>
  <si>
    <t xml:space="preserve">KRI-15</t>
  </si>
  <si>
    <t xml:space="preserve">% mobile devices enrolled and encrypted; certified disposals</t>
  </si>
  <si>
    <t xml:space="preserve">S15, S25</t>
  </si>
  <si>
    <t xml:space="preserve">Enrolled / inventory; certificates / disposals</t>
  </si>
  <si>
    <t xml:space="preserve">MDM, asset register</t>
  </si>
  <si>
    <t xml:space="preserve">KRI-16</t>
  </si>
  <si>
    <t xml:space="preserve">Result of hub/WAN failover test (clinic EHR read access)</t>
  </si>
  <si>
    <t xml:space="preserve">Clinics retaining access during test</t>
  </si>
  <si>
    <t xml:space="preserve">DR test records</t>
  </si>
  <si>
    <t xml:space="preserve">CIO (Infra)</t>
  </si>
  <si>
    <t xml:space="preserve">Annual</t>
  </si>
  <si>
    <t xml:space="preserve">&lt; 10</t>
  </si>
  <si>
    <t xml:space="preserve">&lt; 7</t>
  </si>
  <si>
    <t xml:space="preserve">KRI-17</t>
  </si>
  <si>
    <t xml:space="preserve">Attempts to upload data to unapproved AI services</t>
  </si>
  <si>
    <t xml:space="preserve">Blocked/alerted events per month</t>
  </si>
  <si>
    <t xml:space="preserve">Web proxy / DLP</t>
  </si>
  <si>
    <t xml:space="preserve">Declining trend</t>
  </si>
  <si>
    <t xml:space="preserve">Rising 2 months</t>
  </si>
  <si>
    <t xml:space="preserve">PHI upload confirmed</t>
  </si>
  <si>
    <t xml:space="preserve">KRI-18</t>
  </si>
  <si>
    <t xml:space="preserve">% help-desk resets passing verification audit</t>
  </si>
  <si>
    <t xml:space="preserve">Sampled resets compliant / sampled</t>
  </si>
  <si>
    <t xml:space="preserve">Ticketing system</t>
  </si>
  <si>
    <t xml:space="preserve">&lt; 98%</t>
  </si>
  <si>
    <t xml:space="preserve">KRI-19</t>
  </si>
  <si>
    <t xml:space="preserve">Open critical/high findings on patient-facing applications</t>
  </si>
  <si>
    <t xml:space="preserve">Count past 30 days</t>
  </si>
  <si>
    <t xml:space="preserve">Pen-test tracker</t>
  </si>
  <si>
    <t xml:space="preserve">CIO (App owner)</t>
  </si>
  <si>
    <t xml:space="preserve">&gt;= 3</t>
  </si>
  <si>
    <t xml:space="preserve">KRI-20</t>
  </si>
  <si>
    <t xml:space="preserve">Internet-exposed management interfaces</t>
  </si>
  <si>
    <t xml:space="preserve">S23, S6</t>
  </si>
  <si>
    <t xml:space="preserve">Count from attack-surface monitoring</t>
  </si>
  <si>
    <t xml:space="preserve">EASM tool</t>
  </si>
  <si>
    <t xml:space="preserve">&gt;= 1 without MFA</t>
  </si>
  <si>
    <t xml:space="preserve">KRI-21</t>
  </si>
  <si>
    <t xml:space="preserve">Cybersecurity budget as % of total IT budget (incl. salaries)</t>
  </si>
  <si>
    <t xml:space="preserve">Approved cyber budget / IT budget</t>
  </si>
  <si>
    <t xml:space="preserve">Finance, budget</t>
  </si>
  <si>
    <t xml:space="preserve">CFO / CIO</t>
  </si>
  <si>
    <t xml:space="preserve">12% (appetite 0.30)</t>
  </si>
  <si>
    <t xml:space="preserve">&lt; 7.8%</t>
  </si>
  <si>
    <t xml:space="preserve">&lt; 4% (guideline floor)</t>
  </si>
  <si>
    <t xml:space="preserve">KRI-22</t>
  </si>
  <si>
    <t xml:space="preserve">% of cyber budget spent on scenario-linked treatments</t>
  </si>
  <si>
    <t xml:space="preserve">Spend mapped to S1-S30 / cyber spend</t>
  </si>
  <si>
    <t xml:space="preserve">Budget tracking</t>
  </si>
  <si>
    <t xml:space="preserve">&gt; 80%</t>
  </si>
  <si>
    <t xml:space="preserve">&lt; 50%</t>
  </si>
  <si>
    <t xml:space="preserve">KRI-23</t>
  </si>
  <si>
    <t xml:space="preserve">Risk-reduction reserve released against approved business cases</t>
  </si>
  <si>
    <t xml:space="preserve">Released / available reserve, with scenario IDs</t>
  </si>
  <si>
    <t xml:space="preserve">Steering Committee minutes</t>
  </si>
  <si>
    <t xml:space="preserve">Executive sponsor</t>
  </si>
  <si>
    <t xml:space="preserve">Every release tied to a scenario</t>
  </si>
  <si>
    <t xml:space="preserve">Release without scenario link</t>
  </si>
  <si>
    <t xml:space="preserve">Reserve used for non-risk items</t>
  </si>
  <si>
    <t xml:space="preserve">Source</t>
  </si>
  <si>
    <t xml:space="preserve">Basis</t>
  </si>
  <si>
    <t xml:space="preserve">Content used</t>
  </si>
  <si>
    <t xml:space="preserve">E1</t>
  </si>
  <si>
    <t xml:space="preserve">MediBec business case v2.0b, s.3 - Background and healthcare profile</t>
  </si>
  <si>
    <t xml:space="preserve">Documented (case)</t>
  </si>
  <si>
    <t xml:space="preserve">HQ Montreal; 10 clinics (Montreal, Quebec City, Gatineau, Saguenay); EHR, radiology, lab, pharmacy, billing, communications; sensitive health data.</t>
  </si>
  <si>
    <t xml:space="preserve">E2</t>
  </si>
  <si>
    <t xml:space="preserve">Business case s.4 - Technology environment table</t>
  </si>
  <si>
    <t xml:space="preserve">Central network hub in Montreal, WAN fibre to clinics, firewalls, IDS/IPS, antivirus/antimalware; Montreal data centre, local clinic storage, on-site and off-site backups, encrypted storage; cloud-based remote access; interconnected medical equipment.</t>
  </si>
  <si>
    <t xml:space="preserve">E3</t>
  </si>
  <si>
    <t xml:space="preserve">Business case s.4 - Operating model and budget context</t>
  </si>
  <si>
    <t xml:space="preserve">15-person IT department, 2 dedicated cybersecurity staff; stated IT budget CAD 100M incl. salaries; 2024-2030 roadmap; medical-device certification and clinical change constraints.</t>
  </si>
  <si>
    <t xml:space="preserve">E4</t>
  </si>
  <si>
    <t xml:space="preserve">Business case s.5 - Threat context</t>
  </si>
  <si>
    <t xml:space="preserve">Multiple unsuccessful attack attempts since 2020, increasing recently; no confirmed successful breach; open questions on log sufficiency, device inventories, cloud configuration.</t>
  </si>
  <si>
    <t xml:space="preserve">E5</t>
  </si>
  <si>
    <t xml:space="preserve">Business case s.8 - Risk appetite statement</t>
  </si>
  <si>
    <t xml:space="preserve">Low appetite for patient safety, health-data confidentiality, compliance, public trust; moderate for governed innovation; normalized tolerance 0.40; residual &gt;0.25 executive review, &gt;0.40 Board acceptance.</t>
  </si>
  <si>
    <t xml:space="preserve">E6</t>
  </si>
  <si>
    <t xml:space="preserve">Business case s.6 and Appendices A-B - Incident injects and technical evidence</t>
  </si>
  <si>
    <t xml:space="preserve">Exercise evidence (illustrative - validate)</t>
  </si>
  <si>
    <t xml:space="preserve">Phishing with .docm macro; EDR PowerShell alert closed as low severity; remote login from unusual geography with MFA push approved; cloud medical_image_export.zip downloaded from unknown IP; ehr-sync-svc service account unusual query volume; clinic backup failures.</t>
  </si>
  <si>
    <t xml:space="preserve">E7</t>
  </si>
  <si>
    <t xml:space="preserve">Business case s.7 - Audit universe</t>
  </si>
  <si>
    <t xml:space="preserve">Auditable areas incl. EHR access/IAM, cloud/remote access, backup, medical device/IoT, Wi-Fi, patching, IDS/SIEM, privacy, third parties, API keys, awareness, remediation governance.</t>
  </si>
  <si>
    <t xml:space="preserve">E8</t>
  </si>
  <si>
    <t xml:space="preserve">Business case s.9 - Scenario library MED-CYR-01 to 15</t>
  </si>
  <si>
    <t xml:space="preserve">Fifteen candidate scenario themes with suggested control families.</t>
  </si>
  <si>
    <t xml:space="preserve">E9</t>
  </si>
  <si>
    <t xml:space="preserve">Business case Instructor Annex A - Detailed scenarios</t>
  </si>
  <si>
    <t xml:space="preserve">Illustrative values (calibration only)</t>
  </si>
  <si>
    <t xml:space="preserve">Illustrative probabilities, damages, resilience, CVSS v3.1 and budgets. Used only as a calibration cross-check; not adopted as evidence.</t>
  </si>
  <si>
    <t xml:space="preserve">E10</t>
  </si>
  <si>
    <t xml:space="preserve">Project KB - Cybersecurity Risk Assessment Excel Guide v1.0c</t>
  </si>
  <si>
    <t xml:space="preserve">Methodology</t>
  </si>
  <si>
    <t xml:space="preserve">Authoritative risk-index formulas; CVSS v4.0; multiplication factor 1,000 in worked example; reductions must stay within 0-1.</t>
  </si>
  <si>
    <t xml:space="preserve">E11</t>
  </si>
  <si>
    <t xml:space="preserve">Project KB - Master task specification / Scenario development guide</t>
  </si>
  <si>
    <t xml:space="preserve">Scenario construction standard, 20-to-10 screening, reporting structure, QC checklist.</t>
  </si>
  <si>
    <t xml:space="preserve">E12</t>
  </si>
  <si>
    <t xml:space="preserve">FIRST CVSS v4.0 specification (computed with the 'cvss' Python library)</t>
  </si>
  <si>
    <t xml:space="preserve">External reference</t>
  </si>
  <si>
    <t xml:space="preserve">Base scores (CVSS-B) computed from the documented vectors.</t>
  </si>
  <si>
    <t xml:space="preserve">Cybersecurity budget guideline and appetite mapping</t>
  </si>
  <si>
    <t xml:space="preserve">Total IT budget incl. salaries (CAD)</t>
  </si>
  <si>
    <t xml:space="preserve">Business case s.4 (E3). Information gap - appears high for a 15-person IT team; validate with Finance.</t>
  </si>
  <si>
    <t xml:space="preserve">Guideline floor - risk seeking (% of IT budget)</t>
  </si>
  <si>
    <t xml:space="preserve">User-supplied guideline.</t>
  </si>
  <si>
    <t xml:space="preserve">Guideline median - risk neutral</t>
  </si>
  <si>
    <t xml:space="preserve">Guideline ceiling - risk averse</t>
  </si>
  <si>
    <t xml:space="preserve">Risk appetite (linked)</t>
  </si>
  <si>
    <t xml:space="preserve">From Parameters sheet (analyst estimate 0.30).</t>
  </si>
  <si>
    <t xml:space="preserve">Appetite anchor for ceiling (risk averse)</t>
  </si>
  <si>
    <t xml:space="preserve">Appetite scale anchor 0.3 = risk averse.</t>
  </si>
  <si>
    <t xml:space="preserve">Appetite anchor for median (risk neutral)</t>
  </si>
  <si>
    <t xml:space="preserve">Appetite scale anchor 0.5 = risk neutral.</t>
  </si>
  <si>
    <t xml:space="preserve">Appetite anchor for floor (risk seeking)</t>
  </si>
  <si>
    <t xml:space="preserve">Appetite scale anchor 0.7 = relatively high appetite.</t>
  </si>
  <si>
    <t xml:space="preserve">Contingency and incident reserve (% of cyber spend)</t>
  </si>
  <si>
    <t xml:space="preserve">Analyst convention.</t>
  </si>
  <si>
    <t xml:space="preserve">Recommended ramp - Year 1 (% of IT budget)</t>
  </si>
  <si>
    <t xml:space="preserve">Delivery capacity limits Year 1.</t>
  </si>
  <si>
    <t xml:space="preserve">Recommended ramp - Year 2</t>
  </si>
  <si>
    <t xml:space="preserve">Recommended ramp - Year 3</t>
  </si>
  <si>
    <t xml:space="preserve">Reaches the appetite-consistent target.</t>
  </si>
  <si>
    <t xml:space="preserve">FTE annual value (CAD)</t>
  </si>
  <si>
    <t xml:space="preserve">Workbook convention 1,950 h x $80.</t>
  </si>
  <si>
    <t xml:space="preserve">Appetite-consistent target (% of IT budget)</t>
  </si>
  <si>
    <t xml:space="preserve">Piecewise-linear: 0.30 -&gt; 12%, 0.50 -&gt; 7.8%, 0.70 -&gt; 4%; clamped outside.</t>
  </si>
  <si>
    <t xml:space="preserve">Appetite-consistent target (CAD per year)</t>
  </si>
  <si>
    <t xml:space="preserve">Target by appetite value</t>
  </si>
  <si>
    <t xml:space="preserve">Target %</t>
  </si>
  <si>
    <t xml:space="preserve">Target CAD</t>
  </si>
  <si>
    <t xml:space="preserve">Cybersecurity and IT budget lines - fiscal years Oct-Sep (Y1 = Oct 2026-Sep 2027)</t>
  </si>
  <si>
    <t xml:space="preserve">Gross = total cost of the line (phased: initial spread over start-end months, recurring from completion). Cyber share splits it between the cybersecurity budget and the IT project/operating budget. Blue = editable input.</t>
  </si>
  <si>
    <t xml:space="preserve">Group</t>
  </si>
  <si>
    <t xml:space="preserve">Line</t>
  </si>
  <si>
    <t xml:space="preserve">Cyber share</t>
  </si>
  <si>
    <t xml:space="preserve">Gross Y1</t>
  </si>
  <si>
    <t xml:space="preserve">Gross Y2</t>
  </si>
  <si>
    <t xml:space="preserve">Gross Y3</t>
  </si>
  <si>
    <t xml:space="preserve">Cyber Y1</t>
  </si>
  <si>
    <t xml:space="preserve">Cyber Y2</t>
  </si>
  <si>
    <t xml:space="preserve">Cyber Y3</t>
  </si>
  <si>
    <t xml:space="preserve">IT Y1</t>
  </si>
  <si>
    <t xml:space="preserve">IT Y2</t>
  </si>
  <si>
    <t xml:space="preserve">IT Y3</t>
  </si>
  <si>
    <t xml:space="preserve">Note</t>
  </si>
  <si>
    <t xml:space="preserve">A. Existing baseline</t>
  </si>
  <si>
    <t xml:space="preserve">B1</t>
  </si>
  <si>
    <t xml:space="preserve">Existing cybersecurity staff (2 FTE)</t>
  </si>
  <si>
    <t xml:space="preserve">run</t>
  </si>
  <si>
    <t xml:space="preserve">B2</t>
  </si>
  <si>
    <t xml:space="preserve">Existing security tooling and support (firewalls, IDS/IPS, antimalware/EDR, e-mail filtering)</t>
  </si>
  <si>
    <t xml:space="preserve">B. Risk-treatment portfolio - projects</t>
  </si>
  <si>
    <t xml:space="preserve">project</t>
  </si>
  <si>
    <t xml:space="preserve">C. Risk-treatment portfolio - run</t>
  </si>
  <si>
    <t xml:space="preserve">Backup platform is IT disaster recovery; immutability and isolation are security.</t>
  </si>
  <si>
    <t xml:space="preserve">Scanning, SLAs and the analyst FTE are security; patch deployment effort sits in IT operations.</t>
  </si>
  <si>
    <t xml:space="preserve">Network re-architecture is IT; security zoning and NAC policy are security.</t>
  </si>
  <si>
    <t xml:space="preserve">Device inventory and monitoring are security; biomedical engineering effort is clinical/IT.</t>
  </si>
  <si>
    <t xml:space="preserve">IR plan, retainer and exercises are security; clinical downtime procedures are operations.</t>
  </si>
  <si>
    <t xml:space="preserve">Integrity monitoring is security; EHR reconciliation work is application support.</t>
  </si>
  <si>
    <t xml:space="preserve">Security tooling and pen tests are security; developer remediation time is IT.</t>
  </si>
  <si>
    <t xml:space="preserve">MDM and endpoint encryption are IT endpoint management; disposal certification is security.</t>
  </si>
  <si>
    <t xml:space="preserve">Carrier redundancy, SD-WAN and failover are IT infrastructure resilience.</t>
  </si>
  <si>
    <t xml:space="preserve">Data discovery is security/privacy; consolidation and referral channel are IT.</t>
  </si>
  <si>
    <t xml:space="preserve">Policy and web controls are security; the sanctioned AI tool licence is IT.</t>
  </si>
  <si>
    <t xml:space="preserve">Verification procedure is security; help-desk tooling and time are IT.</t>
  </si>
  <si>
    <t xml:space="preserve">TLS on interfaces and platform hardening split with integration and telehealth delivery.</t>
  </si>
  <si>
    <t xml:space="preserve">D. Security team expansion</t>
  </si>
  <si>
    <t xml:space="preserve">H1</t>
  </si>
  <si>
    <t xml:space="preserve">IAM / PAM engineer</t>
  </si>
  <si>
    <t xml:space="preserve">H2</t>
  </si>
  <si>
    <t xml:space="preserve">Security architect (cloud and network)</t>
  </si>
  <si>
    <t xml:space="preserve">H3</t>
  </si>
  <si>
    <t xml:space="preserve">Governance, risk and privacy-security analyst</t>
  </si>
  <si>
    <t xml:space="preserve">H4</t>
  </si>
  <si>
    <t xml:space="preserve">Application security engineer</t>
  </si>
  <si>
    <t xml:space="preserve">H5</t>
  </si>
  <si>
    <t xml:space="preserve">Medical device / OT security specialist</t>
  </si>
  <si>
    <t xml:space="preserve">E. Second-wave treatment - projects</t>
  </si>
  <si>
    <t xml:space="preserve">E01</t>
  </si>
  <si>
    <t xml:space="preserve">Zero-trust network access replacing VPN</t>
  </si>
  <si>
    <t xml:space="preserve">F. Second-wave treatment - run</t>
  </si>
  <si>
    <t xml:space="preserve">E02</t>
  </si>
  <si>
    <t xml:space="preserve">Identity governance and administration (IGA)</t>
  </si>
  <si>
    <t xml:space="preserve">E03</t>
  </si>
  <si>
    <t xml:space="preserve">Data security posture management and advanced DLP</t>
  </si>
  <si>
    <t xml:space="preserve">E04</t>
  </si>
  <si>
    <t xml:space="preserve">Secondary site / cloud disaster recovery for EHR and core services</t>
  </si>
  <si>
    <t xml:space="preserve">E05</t>
  </si>
  <si>
    <t xml:space="preserve">Legacy medical-device replacement and isolation fund</t>
  </si>
  <si>
    <t xml:space="preserve">E06</t>
  </si>
  <si>
    <t xml:space="preserve">Independent assurance programme</t>
  </si>
  <si>
    <t xml:space="preserve">E07</t>
  </si>
  <si>
    <t xml:space="preserve">Software supply-chain security</t>
  </si>
  <si>
    <t xml:space="preserve">E08</t>
  </si>
  <si>
    <t xml:space="preserve">SaaS and cloud backup</t>
  </si>
  <si>
    <t xml:space="preserve">E09</t>
  </si>
  <si>
    <t xml:space="preserve">Cyber insurance (risk transfer)</t>
  </si>
  <si>
    <t xml:space="preserve">G. Tranche 2 - appetite alignment</t>
  </si>
  <si>
    <t xml:space="preserve">H6</t>
  </si>
  <si>
    <t xml:space="preserve">Detection engineer (SOC)</t>
  </si>
  <si>
    <t xml:space="preserve">Hire month 12</t>
  </si>
  <si>
    <t xml:space="preserve">H7</t>
  </si>
  <si>
    <t xml:space="preserve">Hire month 18</t>
  </si>
  <si>
    <t xml:space="preserve">H8</t>
  </si>
  <si>
    <t xml:space="preserve">Threat intelligence and vulnerability analyst</t>
  </si>
  <si>
    <t xml:space="preserve">H9</t>
  </si>
  <si>
    <t xml:space="preserve">Security project manager</t>
  </si>
  <si>
    <t xml:space="preserve">Hire month 6</t>
  </si>
  <si>
    <t xml:space="preserve">H10</t>
  </si>
  <si>
    <t xml:space="preserve">Security awareness and culture lead</t>
  </si>
  <si>
    <t xml:space="preserve">H11</t>
  </si>
  <si>
    <t xml:space="preserve">Privacy-security engineer</t>
  </si>
  <si>
    <t xml:space="preserve">T2-2</t>
  </si>
  <si>
    <t xml:space="preserve">Security-by-design for clinical innovation and modernization</t>
  </si>
  <si>
    <t xml:space="preserve">Architecture review, threat and privacy impact assessments, security requirements for 2024-2030 EHR, imaging and AI projects (moderate appetite for governed innovation, E5).</t>
  </si>
  <si>
    <t xml:space="preserve">T2-3</t>
  </si>
  <si>
    <t xml:space="preserve">Medical-device and clinical-system modernization - security share</t>
  </si>
  <si>
    <t xml:space="preserve">Accelerates E05 beyond the initial fund: replace or wrap devices that cannot meet the security baseline.</t>
  </si>
  <si>
    <t xml:space="preserve">T2-4</t>
  </si>
  <si>
    <t xml:space="preserve">Resilience deepening</t>
  </si>
  <si>
    <t xml:space="preserve">Immutable backup extended to all clinic storage, full-scale crisis exercises with clinics, EHR high-availability security share.</t>
  </si>
  <si>
    <t xml:space="preserve">H. Contingency and incident reserve</t>
  </si>
  <si>
    <t xml:space="preserve">R1</t>
  </si>
  <si>
    <t xml:space="preserve">Contingency (overruns, incident response surge)</t>
  </si>
  <si>
    <t xml:space="preserve">I. Risk-reduction investment reserve</t>
  </si>
  <si>
    <t xml:space="preserve">R2</t>
  </si>
  <si>
    <t xml:space="preserve">Reserve released by Steering Committee against validated, scenario-linked business cases</t>
  </si>
  <si>
    <t xml:space="preserve">Balancing line: brings the recommended budget to the ramp target. Not spent unless a business case tied to scenario IDs is approved.</t>
  </si>
  <si>
    <t xml:space="preserve">TOTAL</t>
  </si>
  <si>
    <t xml:space="preserve">Cybersecurity budget options vs. guideline band (4% - 12% of IT budget)</t>
  </si>
  <si>
    <t xml:space="preserve">Option</t>
  </si>
  <si>
    <t xml:space="preserve">Groups included</t>
  </si>
  <si>
    <t xml:space="preserve">% IT Y1</t>
  </si>
  <si>
    <t xml:space="preserve">% IT Y2</t>
  </si>
  <si>
    <t xml:space="preserve">% IT Y3</t>
  </si>
  <si>
    <t xml:space="preserve">Band check (all years)</t>
  </si>
  <si>
    <t xml:space="preserve">Position vs appetite target (Y3)</t>
  </si>
  <si>
    <t xml:space="preserve">Implied appetite (Y3)</t>
  </si>
  <si>
    <t xml:space="preserve">A. Status quo (baseline only)</t>
  </si>
  <si>
    <t xml:space="preserve">A</t>
  </si>
  <si>
    <t xml:space="preserve">B. Baseline + 30-scenario portfolio</t>
  </si>
  <si>
    <t xml:space="preserve">ABC</t>
  </si>
  <si>
    <t xml:space="preserve">C. B + security team expansion (+10% contingency)</t>
  </si>
  <si>
    <t xml:space="preserve">ABCD</t>
  </si>
  <si>
    <t xml:space="preserve">D. C + second-wave treatment (+10% contingency)</t>
  </si>
  <si>
    <t xml:space="preserve">ABCDEF</t>
  </si>
  <si>
    <t xml:space="preserve">R. Recommended: D + Tranche 2 + risk-reduction reserve</t>
  </si>
  <si>
    <t xml:space="preserve">ABCDEFGHI</t>
  </si>
  <si>
    <t xml:space="preserve">Appetite-consistent target</t>
  </si>
  <si>
    <t xml:space="preserve">Check: recommended Y3 equals target (0 = OK)</t>
  </si>
  <si>
    <t xml:space="preserve">Project budgets - recommended option (one-time spend)</t>
  </si>
  <si>
    <t xml:space="preserve">Budget</t>
  </si>
  <si>
    <t xml:space="preserve">Y1</t>
  </si>
  <si>
    <t xml:space="preserve">Y2</t>
  </si>
  <si>
    <t xml:space="preserve">Y3</t>
  </si>
  <si>
    <t xml:space="preserve">3-year total</t>
  </si>
  <si>
    <t xml:space="preserve">Cybersecurity projects (cyber share)</t>
  </si>
  <si>
    <t xml:space="preserve">Security-relevant IT projects (IT share)</t>
  </si>
  <si>
    <t xml:space="preserve">Total IT and cybersecurity projects</t>
  </si>
  <si>
    <t xml:space="preserve">Cybersecurity run (operating) budget</t>
  </si>
  <si>
    <t xml:space="preserve">Sensitivity to the IT budget figure (evidence gap) - option D and recommended</t>
  </si>
  <si>
    <t xml:space="preserve">IT budget (CAD)</t>
  </si>
  <si>
    <t xml:space="preserve">D % Y1</t>
  </si>
  <si>
    <t xml:space="preserve">D % Y2</t>
  </si>
  <si>
    <t xml:space="preserve">D % Y3</t>
  </si>
  <si>
    <t xml:space="preserve">D band check</t>
  </si>
  <si>
    <t xml:space="preserve">Target CAD @ appetite</t>
  </si>
  <si>
    <t xml:space="preserve">Residual risk by funding level (same CRG formulas; second-wave reductions are analyst estimates)</t>
  </si>
  <si>
    <t xml:space="preserve">P (portfolio)</t>
  </si>
  <si>
    <t xml:space="preserve">Q (portfolio)</t>
  </si>
  <si>
    <t xml:space="preserve">Residual (portfolio)</t>
  </si>
  <si>
    <t xml:space="preserve">Ratio (portfolio)</t>
  </si>
  <si>
    <t xml:space="preserve">Status (portfolio)</t>
  </si>
  <si>
    <t xml:space="preserve">P (with 2nd wave)</t>
  </si>
  <si>
    <t xml:space="preserve">Q (with 2nd wave)</t>
  </si>
  <si>
    <t xml:space="preserve">Residual (2nd wave)</t>
  </si>
  <si>
    <t xml:space="preserve">Ratio (2nd wave)</t>
  </si>
  <si>
    <t xml:space="preserve">Status (2nd wave)</t>
  </si>
  <si>
    <t xml:space="preserve">Count - above / approximately at / below</t>
  </si>
  <si>
    <t xml:space="preserve">Funding level: portfolio</t>
  </si>
  <si>
    <t xml:space="preserve">Funding level: 2nd wave</t>
  </si>
  <si>
    <t xml:space="preserve">Total residual (portfolio / 2nd wave)</t>
  </si>
</sst>
</file>

<file path=xl/styles.xml><?xml version="1.0" encoding="utf-8"?>
<styleSheet xmlns="http://schemas.openxmlformats.org/spreadsheetml/2006/main">
  <numFmts count="11">
    <numFmt numFmtId="164" formatCode="General"/>
    <numFmt numFmtId="165" formatCode="0.00"/>
    <numFmt numFmtId="166" formatCode="0.0"/>
    <numFmt numFmtId="167" formatCode="#,##0"/>
    <numFmt numFmtId="168" formatCode="\$#,##0"/>
    <numFmt numFmtId="169" formatCode="0"/>
    <numFmt numFmtId="170" formatCode="\$#,##0;&quot;($&quot;#,##0\);\-"/>
    <numFmt numFmtId="171" formatCode="0.000"/>
    <numFmt numFmtId="172" formatCode="\$#,##0;&quot;($&quot;#,##0\);\-"/>
    <numFmt numFmtId="173" formatCode="0.0%"/>
    <numFmt numFmtId="174"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70" fontId="5"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4CCCC"/>
        </patternFill>
      </fill>
    </dxf>
    <dxf>
      <fill>
        <patternFill>
          <bgColor rgb="FFFFF2CC"/>
        </patternFill>
      </fill>
    </dxf>
    <dxf>
      <fill>
        <patternFill>
          <bgColor rgb="FFD9EAD3"/>
        </patternFill>
      </fill>
    </dxf>
    <dxf>
      <fill>
        <patternFill>
          <bgColor rgb="FFD9EAD3"/>
        </patternFill>
      </fill>
    </dxf>
    <dxf>
      <fill>
        <patternFill>
          <bgColor rgb="FFF4CCCC"/>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row>
    <row r="7" customFormat="false" ht="15" hidden="false" customHeight="true" outlineLevel="0" collapsed="false">
      <c r="A7" s="3" t="s">
        <v>4</v>
      </c>
    </row>
    <row r="8" customFormat="false" ht="15" hidden="false" customHeight="true" outlineLevel="0" collapsed="false">
      <c r="A8" s="3"/>
    </row>
    <row r="9" customFormat="false" ht="15" hidden="false" customHeight="true" outlineLevel="0" collapsed="false">
      <c r="A9" s="3" t="s">
        <v>5</v>
      </c>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row>
    <row r="18" customFormat="false" ht="1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row>
    <row r="25" customFormat="false" ht="15" hidden="false" customHeight="true" outlineLevel="0" collapsed="false">
      <c r="A25" s="3" t="s">
        <v>19</v>
      </c>
    </row>
    <row r="27" customFormat="false" ht="15" hidden="false" customHeight="false" outlineLevel="0" collapsed="false">
      <c r="A27" s="4" t="s">
        <v>20</v>
      </c>
    </row>
    <row r="28" customFormat="false" ht="15" hidden="false" customHeight="false" outlineLevel="0" collapsed="false">
      <c r="A28" s="4" t="s">
        <v>21</v>
      </c>
    </row>
    <row r="29" customFormat="false" ht="15" hidden="false" customHeight="false" outlineLevel="0" collapsed="false">
      <c r="A29" s="4" t="s">
        <v>22</v>
      </c>
    </row>
    <row r="30" customFormat="false" ht="15" hidden="false" customHeight="false" outlineLevel="0" collapsed="false">
      <c r="A30" s="4" t="s">
        <v>23</v>
      </c>
    </row>
    <row r="31" customFormat="false" ht="15" hidden="false" customHeight="false" outlineLevel="0" collapsed="false">
      <c r="A31"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2"/>
    <col collapsed="false" customWidth="true" hidden="false" outlineLevel="0" max="3" min="3" style="1" width="7"/>
    <col collapsed="false" customWidth="true" hidden="false" outlineLevel="0" max="4" min="4" style="1" width="8"/>
    <col collapsed="false" customWidth="true" hidden="false" outlineLevel="0" max="5" min="5" style="1" width="7"/>
    <col collapsed="false" customWidth="true" hidden="false" outlineLevel="0" max="7" min="6" style="1" width="6"/>
    <col collapsed="false" customWidth="true" hidden="false" outlineLevel="0" max="9" min="8" style="1" width="7"/>
    <col collapsed="false" customWidth="true" hidden="false" outlineLevel="0" max="11" min="10" style="1" width="8"/>
    <col collapsed="false" customWidth="true" hidden="false" outlineLevel="0" max="13" min="12" style="1" width="11"/>
    <col collapsed="false" customWidth="true" hidden="false" outlineLevel="0" max="14" min="14" style="1" width="10"/>
    <col collapsed="false" customWidth="true" hidden="false" outlineLevel="0" max="15" min="15" style="1" width="12"/>
    <col collapsed="false" customWidth="true" hidden="false" outlineLevel="0" max="17" min="16" style="1" width="9"/>
    <col collapsed="false" customWidth="true" hidden="false" outlineLevel="0" max="19" min="18" style="1" width="11"/>
    <col collapsed="false" customWidth="true" hidden="false" outlineLevel="0" max="20" min="20" style="1" width="10"/>
    <col collapsed="false" customWidth="true" hidden="false" outlineLevel="0" max="21" min="21" style="1" width="24"/>
    <col collapsed="false" customWidth="true" hidden="false" outlineLevel="0" max="22" min="22" style="1" width="12"/>
    <col collapsed="false" customWidth="true" hidden="false" outlineLevel="0" max="23" min="23" style="1" width="10"/>
  </cols>
  <sheetData>
    <row r="1" customFormat="false" ht="17.25" hidden="false" customHeight="true" outlineLevel="0" collapsed="false">
      <c r="A1" s="2" t="s">
        <v>25</v>
      </c>
    </row>
    <row r="2" customFormat="false" ht="15" hidden="false" customHeight="true" outlineLevel="0" collapsed="false">
      <c r="A2" s="3" t="s">
        <v>26</v>
      </c>
    </row>
    <row r="4" customFormat="false" ht="34.5" hidden="false" customHeight="true" outlineLevel="0" collapsed="false">
      <c r="A4" s="5" t="s">
        <v>27</v>
      </c>
      <c r="B4" s="5" t="s">
        <v>28</v>
      </c>
      <c r="C4" s="5" t="s">
        <v>29</v>
      </c>
      <c r="D4" s="5" t="s">
        <v>30</v>
      </c>
      <c r="E4" s="5" t="s">
        <v>31</v>
      </c>
      <c r="F4" s="5" t="s">
        <v>32</v>
      </c>
      <c r="G4" s="5" t="s">
        <v>33</v>
      </c>
      <c r="H4" s="5" t="s">
        <v>34</v>
      </c>
      <c r="I4" s="5" t="s">
        <v>35</v>
      </c>
      <c r="J4" s="5" t="s">
        <v>36</v>
      </c>
      <c r="K4" s="5" t="s">
        <v>37</v>
      </c>
      <c r="L4" s="5" t="s">
        <v>38</v>
      </c>
      <c r="M4" s="5" t="s">
        <v>39</v>
      </c>
      <c r="N4" s="5" t="s">
        <v>40</v>
      </c>
      <c r="O4" s="5" t="s">
        <v>41</v>
      </c>
      <c r="P4" s="5" t="s">
        <v>42</v>
      </c>
      <c r="Q4" s="5" t="s">
        <v>43</v>
      </c>
      <c r="R4" s="5" t="s">
        <v>44</v>
      </c>
      <c r="S4" s="5" t="s">
        <v>45</v>
      </c>
      <c r="T4" s="5" t="s">
        <v>46</v>
      </c>
      <c r="U4" s="5" t="s">
        <v>47</v>
      </c>
      <c r="V4" s="5" t="s">
        <v>48</v>
      </c>
      <c r="W4" s="5" t="s">
        <v>49</v>
      </c>
    </row>
    <row r="5" customFormat="false" ht="23.25" hidden="false" customHeight="true" outlineLevel="0" collapsed="false">
      <c r="A5" s="6" t="str">
        <f aca="false">Inputs!A4</f>
        <v>S1</v>
      </c>
      <c r="B5" s="7" t="str">
        <f aca="false">Inputs!B4</f>
        <v>Credential compromise of clinical administrator accounts through phishing and MFA fatigue</v>
      </c>
      <c r="C5" s="8" t="n">
        <f aca="false">Inputs!C4</f>
        <v>0.85</v>
      </c>
      <c r="D5" s="8" t="n">
        <f aca="false">Inputs!D4</f>
        <v>0.55</v>
      </c>
      <c r="E5" s="9" t="n">
        <f aca="false">Inputs!J4</f>
        <v>9.3</v>
      </c>
      <c r="F5" s="8" t="n">
        <f aca="false">Inputs!E4</f>
        <v>0.55</v>
      </c>
      <c r="G5" s="8" t="n">
        <f aca="false">Inputs!F4</f>
        <v>0.85</v>
      </c>
      <c r="H5" s="8" t="n">
        <f aca="false">Inputs!H4</f>
        <v>0.85</v>
      </c>
      <c r="I5" s="8" t="n">
        <f aca="false">Inputs!G4</f>
        <v>0.4</v>
      </c>
      <c r="J5" s="8" t="n">
        <f aca="false">Parameters!$B$4</f>
        <v>0.3</v>
      </c>
      <c r="K5" s="10" t="n">
        <f aca="false">Parameters!$B$5</f>
        <v>1000</v>
      </c>
      <c r="L5" s="11" t="n">
        <f aca="false">C5*D5*E5*((F5+G5)/2)*H5/I5*K5</f>
        <v>6467.278125</v>
      </c>
      <c r="M5" s="11" t="n">
        <f aca="false">C5*D5*E5*J5*H5/I5*K5</f>
        <v>2771.690625</v>
      </c>
      <c r="N5" s="12" t="n">
        <f aca="false">L5/M5</f>
        <v>2.33333333333333</v>
      </c>
      <c r="O5" s="13" t="n">
        <f aca="false">Portfolio!K27</f>
        <v>123422.969187675</v>
      </c>
      <c r="P5" s="8" t="n">
        <f aca="false">Inputs!K4</f>
        <v>0.8</v>
      </c>
      <c r="Q5" s="8" t="n">
        <f aca="false">Inputs!L4</f>
        <v>0.75</v>
      </c>
      <c r="R5" s="11" t="n">
        <f aca="false">L5*P5*Q5</f>
        <v>3880.366875</v>
      </c>
      <c r="S5" s="11" t="n">
        <f aca="false">L5-R5</f>
        <v>2586.91125</v>
      </c>
      <c r="T5" s="12" t="n">
        <f aca="false">S5/M5</f>
        <v>0.933333333333333</v>
      </c>
      <c r="U5" s="14" t="str">
        <f aca="false">IF(T5&lt;Parameters!$B$6,"Below tolerance",IF(T5&lt;=Parameters!$B$7,"Approximately at tolerance","Above tolerance"))</f>
        <v>Approximately at tolerance</v>
      </c>
      <c r="V5" s="12" t="n">
        <f aca="false">IF(O5=0,0,(L5-S5)/O5*1000)</f>
        <v>31.4395845484771</v>
      </c>
      <c r="W5" s="14" t="str">
        <f aca="false">IF(AND(P5&gt;=0,P5&lt;=1,Q5&gt;=0,Q5&lt;=1),"OK","CHECK")</f>
        <v>OK</v>
      </c>
    </row>
    <row r="6" customFormat="false" ht="23.25" hidden="false" customHeight="true" outlineLevel="0" collapsed="false">
      <c r="A6" s="6" t="str">
        <f aca="false">Inputs!A5</f>
        <v>S2</v>
      </c>
      <c r="B6" s="7" t="str">
        <f aca="false">Inputs!B5</f>
        <v>Ransomware disrupting EHR access and clinic operations across the network</v>
      </c>
      <c r="C6" s="8" t="n">
        <f aca="false">Inputs!C5</f>
        <v>0.75</v>
      </c>
      <c r="D6" s="8" t="n">
        <f aca="false">Inputs!D5</f>
        <v>0.5</v>
      </c>
      <c r="E6" s="9" t="n">
        <f aca="false">Inputs!J5</f>
        <v>9.3</v>
      </c>
      <c r="F6" s="8" t="n">
        <f aca="false">Inputs!E5</f>
        <v>0.7</v>
      </c>
      <c r="G6" s="8" t="n">
        <f aca="false">Inputs!F5</f>
        <v>0.95</v>
      </c>
      <c r="H6" s="8" t="n">
        <f aca="false">Inputs!H5</f>
        <v>0.95</v>
      </c>
      <c r="I6" s="8" t="n">
        <f aca="false">Inputs!G5</f>
        <v>0.35</v>
      </c>
      <c r="J6" s="8" t="n">
        <f aca="false">Parameters!$B$4</f>
        <v>0.3</v>
      </c>
      <c r="K6" s="10" t="n">
        <f aca="false">Parameters!$B$5</f>
        <v>1000</v>
      </c>
      <c r="L6" s="11" t="n">
        <f aca="false">C6*D6*E6*((F6+G6)/2)*H6/I6*K6</f>
        <v>7809.50892857143</v>
      </c>
      <c r="M6" s="11" t="n">
        <f aca="false">C6*D6*E6*J6*H6/I6*K6</f>
        <v>2839.82142857143</v>
      </c>
      <c r="N6" s="12" t="n">
        <f aca="false">L6/M6</f>
        <v>2.75</v>
      </c>
      <c r="O6" s="13" t="n">
        <f aca="false">Portfolio!L27</f>
        <v>356345.191409897</v>
      </c>
      <c r="P6" s="8" t="n">
        <f aca="false">Inputs!K5</f>
        <v>0.75</v>
      </c>
      <c r="Q6" s="8" t="n">
        <f aca="false">Inputs!L5</f>
        <v>0.75</v>
      </c>
      <c r="R6" s="11" t="n">
        <f aca="false">L6*P6*Q6</f>
        <v>4392.84877232143</v>
      </c>
      <c r="S6" s="11" t="n">
        <f aca="false">L6-R6</f>
        <v>3416.66015625</v>
      </c>
      <c r="T6" s="12" t="n">
        <f aca="false">S6/M6</f>
        <v>1.203125</v>
      </c>
      <c r="U6" s="14" t="str">
        <f aca="false">IF(T6&lt;Parameters!$B$6,"Below tolerance",IF(T6&lt;=Parameters!$B$7,"Approximately at tolerance","Above tolerance"))</f>
        <v>Above tolerance</v>
      </c>
      <c r="V6" s="12" t="n">
        <f aca="false">IF(O6=0,0,(L6-S6)/O6*1000)</f>
        <v>12.3275096120728</v>
      </c>
      <c r="W6" s="14" t="str">
        <f aca="false">IF(AND(P6&gt;=0,P6&lt;=1,Q6&gt;=0,Q6&lt;=1),"OK","CHECK")</f>
        <v>OK</v>
      </c>
    </row>
    <row r="7" customFormat="false" ht="23.25" hidden="false" customHeight="true" outlineLevel="0" collapsed="false">
      <c r="A7" s="6" t="str">
        <f aca="false">Inputs!A6</f>
        <v>S3</v>
      </c>
      <c r="B7" s="7" t="str">
        <f aca="false">Inputs!B6</f>
        <v>Backup environment compromised, preventing recovery after a destructive attack</v>
      </c>
      <c r="C7" s="8" t="n">
        <f aca="false">Inputs!C6</f>
        <v>0.55</v>
      </c>
      <c r="D7" s="8" t="n">
        <f aca="false">Inputs!D6</f>
        <v>0.5</v>
      </c>
      <c r="E7" s="9" t="n">
        <f aca="false">Inputs!J6</f>
        <v>9.2</v>
      </c>
      <c r="F7" s="8" t="n">
        <f aca="false">Inputs!E6</f>
        <v>0.6</v>
      </c>
      <c r="G7" s="8" t="n">
        <f aca="false">Inputs!F6</f>
        <v>0.9</v>
      </c>
      <c r="H7" s="8" t="n">
        <f aca="false">Inputs!H6</f>
        <v>0.9</v>
      </c>
      <c r="I7" s="8" t="n">
        <f aca="false">Inputs!G6</f>
        <v>0.35</v>
      </c>
      <c r="J7" s="8" t="n">
        <f aca="false">Parameters!$B$4</f>
        <v>0.3</v>
      </c>
      <c r="K7" s="10" t="n">
        <f aca="false">Parameters!$B$5</f>
        <v>1000</v>
      </c>
      <c r="L7" s="11" t="n">
        <f aca="false">C7*D7*E7*((F7+G7)/2)*H7/I7*K7</f>
        <v>4879.28571428572</v>
      </c>
      <c r="M7" s="11" t="n">
        <f aca="false">C7*D7*E7*J7*H7/I7*K7</f>
        <v>1951.71428571429</v>
      </c>
      <c r="N7" s="12" t="n">
        <f aca="false">L7/M7</f>
        <v>2.5</v>
      </c>
      <c r="O7" s="13" t="n">
        <f aca="false">Portfolio!M27</f>
        <v>267145.191409897</v>
      </c>
      <c r="P7" s="8" t="n">
        <f aca="false">Inputs!K6</f>
        <v>0.8</v>
      </c>
      <c r="Q7" s="8" t="n">
        <f aca="false">Inputs!L6</f>
        <v>0.85</v>
      </c>
      <c r="R7" s="11" t="n">
        <f aca="false">L7*P7*Q7</f>
        <v>3317.91428571429</v>
      </c>
      <c r="S7" s="11" t="n">
        <f aca="false">L7-R7</f>
        <v>1561.37142857143</v>
      </c>
      <c r="T7" s="12" t="n">
        <f aca="false">S7/M7</f>
        <v>0.8</v>
      </c>
      <c r="U7" s="14" t="str">
        <f aca="false">IF(T7&lt;Parameters!$B$6,"Below tolerance",IF(T7&lt;=Parameters!$B$7,"Approximately at tolerance","Above tolerance"))</f>
        <v>Below tolerance</v>
      </c>
      <c r="V7" s="12" t="n">
        <f aca="false">IF(O7=0,0,(L7-S7)/O7*1000)</f>
        <v>12.419891476255</v>
      </c>
      <c r="W7" s="14" t="str">
        <f aca="false">IF(AND(P7&gt;=0,P7&lt;=1,Q7&gt;=0,Q7&lt;=1),"OK","CHECK")</f>
        <v>OK</v>
      </c>
    </row>
    <row r="8" customFormat="false" ht="23.25" hidden="false" customHeight="true" outlineLevel="0" collapsed="false">
      <c r="A8" s="6" t="str">
        <f aca="false">Inputs!A7</f>
        <v>S4</v>
      </c>
      <c r="B8" s="7" t="str">
        <f aca="false">Inputs!B7</f>
        <v>Cloud medical-image transfer storage exposed, enabling bulk health-data exfiltration</v>
      </c>
      <c r="C8" s="8" t="n">
        <f aca="false">Inputs!C7</f>
        <v>0.6</v>
      </c>
      <c r="D8" s="8" t="n">
        <f aca="false">Inputs!D7</f>
        <v>0.45</v>
      </c>
      <c r="E8" s="9" t="n">
        <f aca="false">Inputs!J7</f>
        <v>8.7</v>
      </c>
      <c r="F8" s="8" t="n">
        <f aca="false">Inputs!E7</f>
        <v>0.55</v>
      </c>
      <c r="G8" s="8" t="n">
        <f aca="false">Inputs!F7</f>
        <v>0.8</v>
      </c>
      <c r="H8" s="8" t="n">
        <f aca="false">Inputs!H7</f>
        <v>0.75</v>
      </c>
      <c r="I8" s="8" t="n">
        <f aca="false">Inputs!G7</f>
        <v>0.4</v>
      </c>
      <c r="J8" s="8" t="n">
        <f aca="false">Parameters!$B$4</f>
        <v>0.3</v>
      </c>
      <c r="K8" s="10" t="n">
        <f aca="false">Parameters!$B$5</f>
        <v>1000</v>
      </c>
      <c r="L8" s="11" t="n">
        <f aca="false">C8*D8*E8*((F8+G8)/2)*H8/I8*K8</f>
        <v>2972.953125</v>
      </c>
      <c r="M8" s="11" t="n">
        <f aca="false">C8*D8*E8*J8*H8/I8*K8</f>
        <v>1321.3125</v>
      </c>
      <c r="N8" s="12" t="n">
        <f aca="false">L8/M8</f>
        <v>2.25</v>
      </c>
      <c r="O8" s="13" t="n">
        <f aca="false">Portfolio!N27</f>
        <v>154470.588235294</v>
      </c>
      <c r="P8" s="8" t="n">
        <f aca="false">Inputs!K7</f>
        <v>0.85</v>
      </c>
      <c r="Q8" s="8" t="n">
        <f aca="false">Inputs!L7</f>
        <v>0.7</v>
      </c>
      <c r="R8" s="11" t="n">
        <f aca="false">L8*P8*Q8</f>
        <v>1768.907109375</v>
      </c>
      <c r="S8" s="11" t="n">
        <f aca="false">L8-R8</f>
        <v>1204.046015625</v>
      </c>
      <c r="T8" s="12" t="n">
        <f aca="false">S8/M8</f>
        <v>0.91125</v>
      </c>
      <c r="U8" s="14" t="str">
        <f aca="false">IF(T8&lt;Parameters!$B$6,"Below tolerance",IF(T8&lt;=Parameters!$B$7,"Approximately at tolerance","Above tolerance"))</f>
        <v>Approximately at tolerance</v>
      </c>
      <c r="V8" s="12" t="n">
        <f aca="false">IF(O8=0,0,(L8-S8)/O8*1000)</f>
        <v>11.4514169304551</v>
      </c>
      <c r="W8" s="14" t="str">
        <f aca="false">IF(AND(P8&gt;=0,P8&lt;=1,Q8&gt;=0,Q8&lt;=1),"OK","CHECK")</f>
        <v>OK</v>
      </c>
    </row>
    <row r="9" customFormat="false" ht="23.25" hidden="false" customHeight="true" outlineLevel="0" collapsed="false">
      <c r="A9" s="6" t="str">
        <f aca="false">Inputs!A8</f>
        <v>S5</v>
      </c>
      <c r="B9" s="7" t="str">
        <f aca="false">Inputs!B8</f>
        <v>Misuse of legitimate clinical, privileged or service-account access to extract patient records</v>
      </c>
      <c r="C9" s="8" t="n">
        <f aca="false">Inputs!C8</f>
        <v>0.6</v>
      </c>
      <c r="D9" s="8" t="n">
        <f aca="false">Inputs!D8</f>
        <v>0.55</v>
      </c>
      <c r="E9" s="9" t="n">
        <f aca="false">Inputs!J8</f>
        <v>7.1</v>
      </c>
      <c r="F9" s="8" t="n">
        <f aca="false">Inputs!E8</f>
        <v>0.45</v>
      </c>
      <c r="G9" s="8" t="n">
        <f aca="false">Inputs!F8</f>
        <v>0.75</v>
      </c>
      <c r="H9" s="8" t="n">
        <f aca="false">Inputs!H8</f>
        <v>0.8</v>
      </c>
      <c r="I9" s="8" t="n">
        <f aca="false">Inputs!G8</f>
        <v>0.4</v>
      </c>
      <c r="J9" s="8" t="n">
        <f aca="false">Parameters!$B$4</f>
        <v>0.3</v>
      </c>
      <c r="K9" s="10" t="n">
        <f aca="false">Parameters!$B$5</f>
        <v>1000</v>
      </c>
      <c r="L9" s="11" t="n">
        <f aca="false">C9*D9*E9*((F9+G9)/2)*H9/I9*K9</f>
        <v>2811.6</v>
      </c>
      <c r="M9" s="11" t="n">
        <f aca="false">C9*D9*E9*J9*H9/I9*K9</f>
        <v>1405.8</v>
      </c>
      <c r="N9" s="12" t="n">
        <f aca="false">L9/M9</f>
        <v>2</v>
      </c>
      <c r="O9" s="13" t="n">
        <f aca="false">Portfolio!O27</f>
        <v>147137.254901961</v>
      </c>
      <c r="P9" s="8" t="n">
        <f aca="false">Inputs!K8</f>
        <v>0.6</v>
      </c>
      <c r="Q9" s="8" t="n">
        <f aca="false">Inputs!L8</f>
        <v>0.65</v>
      </c>
      <c r="R9" s="11" t="n">
        <f aca="false">L9*P9*Q9</f>
        <v>1096.524</v>
      </c>
      <c r="S9" s="11" t="n">
        <f aca="false">L9-R9</f>
        <v>1715.076</v>
      </c>
      <c r="T9" s="12" t="n">
        <f aca="false">S9/M9</f>
        <v>1.22</v>
      </c>
      <c r="U9" s="14" t="str">
        <f aca="false">IF(T9&lt;Parameters!$B$6,"Below tolerance",IF(T9&lt;=Parameters!$B$7,"Approximately at tolerance","Above tolerance"))</f>
        <v>Above tolerance</v>
      </c>
      <c r="V9" s="12" t="n">
        <f aca="false">IF(O9=0,0,(L9-S9)/O9*1000)</f>
        <v>7.45238859275053</v>
      </c>
      <c r="W9" s="14" t="str">
        <f aca="false">IF(AND(P9&gt;=0,P9&lt;=1,Q9&gt;=0,Q9&lt;=1),"OK","CHECK")</f>
        <v>OK</v>
      </c>
    </row>
    <row r="10" customFormat="false" ht="15" hidden="false" customHeight="true" outlineLevel="0" collapsed="false">
      <c r="A10" s="6" t="str">
        <f aca="false">Inputs!A9</f>
        <v>S6</v>
      </c>
      <c r="B10" s="7" t="str">
        <f aca="false">Inputs!B9</f>
        <v>Exploitation of unpatched internet-facing or end-of-life systems</v>
      </c>
      <c r="C10" s="8" t="n">
        <f aca="false">Inputs!C9</f>
        <v>0.8</v>
      </c>
      <c r="D10" s="8" t="n">
        <f aca="false">Inputs!D9</f>
        <v>0.5</v>
      </c>
      <c r="E10" s="9" t="n">
        <f aca="false">Inputs!J9</f>
        <v>10</v>
      </c>
      <c r="F10" s="8" t="n">
        <f aca="false">Inputs!E9</f>
        <v>0.6</v>
      </c>
      <c r="G10" s="8" t="n">
        <f aca="false">Inputs!F9</f>
        <v>0.9</v>
      </c>
      <c r="H10" s="8" t="n">
        <f aca="false">Inputs!H9</f>
        <v>0.85</v>
      </c>
      <c r="I10" s="8" t="n">
        <f aca="false">Inputs!G9</f>
        <v>0.4</v>
      </c>
      <c r="J10" s="8" t="n">
        <f aca="false">Parameters!$B$4</f>
        <v>0.3</v>
      </c>
      <c r="K10" s="10" t="n">
        <f aca="false">Parameters!$B$5</f>
        <v>1000</v>
      </c>
      <c r="L10" s="11" t="n">
        <f aca="false">C10*D10*E10*((F10+G10)/2)*H10/I10*K10</f>
        <v>6375</v>
      </c>
      <c r="M10" s="11" t="n">
        <f aca="false">C10*D10*E10*J10*H10/I10*K10</f>
        <v>2550</v>
      </c>
      <c r="N10" s="12" t="n">
        <f aca="false">L10/M10</f>
        <v>2.5</v>
      </c>
      <c r="O10" s="13" t="n">
        <f aca="false">Portfolio!P27</f>
        <v>183956.302521008</v>
      </c>
      <c r="P10" s="8" t="n">
        <f aca="false">Inputs!K9</f>
        <v>0.85</v>
      </c>
      <c r="Q10" s="8" t="n">
        <f aca="false">Inputs!L9</f>
        <v>0.7</v>
      </c>
      <c r="R10" s="11" t="n">
        <f aca="false">L10*P10*Q10</f>
        <v>3793.125</v>
      </c>
      <c r="S10" s="11" t="n">
        <f aca="false">L10-R10</f>
        <v>2581.875</v>
      </c>
      <c r="T10" s="12" t="n">
        <f aca="false">S10/M10</f>
        <v>1.0125</v>
      </c>
      <c r="U10" s="14" t="str">
        <f aca="false">IF(T10&lt;Parameters!$B$6,"Below tolerance",IF(T10&lt;=Parameters!$B$7,"Approximately at tolerance","Above tolerance"))</f>
        <v>Approximately at tolerance</v>
      </c>
      <c r="V10" s="12" t="n">
        <f aca="false">IF(O10=0,0,(L10-S10)/O10*1000)</f>
        <v>20.619706680432</v>
      </c>
      <c r="W10" s="14" t="str">
        <f aca="false">IF(AND(P10&gt;=0,P10&lt;=1,Q10&gt;=0,Q10&lt;=1),"OK","CHECK")</f>
        <v>OK</v>
      </c>
    </row>
    <row r="11" customFormat="false" ht="23.25" hidden="false" customHeight="true" outlineLevel="0" collapsed="false">
      <c r="A11" s="6" t="str">
        <f aca="false">Inputs!A10</f>
        <v>S7</v>
      </c>
      <c r="B11" s="7" t="str">
        <f aca="false">Inputs!B10</f>
        <v>Connected medical device used as a foothold to disrupt clinical equipment and reach the EHR network</v>
      </c>
      <c r="C11" s="8" t="n">
        <f aca="false">Inputs!C10</f>
        <v>0.45</v>
      </c>
      <c r="D11" s="8" t="n">
        <f aca="false">Inputs!D10</f>
        <v>0.5</v>
      </c>
      <c r="E11" s="9" t="n">
        <f aca="false">Inputs!J10</f>
        <v>8.7</v>
      </c>
      <c r="F11" s="8" t="n">
        <f aca="false">Inputs!E10</f>
        <v>0.55</v>
      </c>
      <c r="G11" s="8" t="n">
        <f aca="false">Inputs!F10</f>
        <v>0.95</v>
      </c>
      <c r="H11" s="8" t="n">
        <f aca="false">Inputs!H10</f>
        <v>0.9</v>
      </c>
      <c r="I11" s="8" t="n">
        <f aca="false">Inputs!G10</f>
        <v>0.35</v>
      </c>
      <c r="J11" s="8" t="n">
        <f aca="false">Parameters!$B$4</f>
        <v>0.3</v>
      </c>
      <c r="K11" s="10" t="n">
        <f aca="false">Parameters!$B$5</f>
        <v>1000</v>
      </c>
      <c r="L11" s="11" t="n">
        <f aca="false">C11*D11*E11*((F11+G11)/2)*H11/I11*K11</f>
        <v>3775.17857142857</v>
      </c>
      <c r="M11" s="11" t="n">
        <f aca="false">C11*D11*E11*J11*H11/I11*K11</f>
        <v>1510.07142857143</v>
      </c>
      <c r="N11" s="12" t="n">
        <f aca="false">L11/M11</f>
        <v>2.5</v>
      </c>
      <c r="O11" s="13" t="n">
        <f aca="false">Portfolio!Q27</f>
        <v>282485.714285714</v>
      </c>
      <c r="P11" s="8" t="n">
        <f aca="false">Inputs!K10</f>
        <v>0.7</v>
      </c>
      <c r="Q11" s="8" t="n">
        <f aca="false">Inputs!L10</f>
        <v>0.6</v>
      </c>
      <c r="R11" s="11" t="n">
        <f aca="false">L11*P11*Q11</f>
        <v>1585.575</v>
      </c>
      <c r="S11" s="11" t="n">
        <f aca="false">L11-R11</f>
        <v>2189.60357142857</v>
      </c>
      <c r="T11" s="12" t="n">
        <f aca="false">S11/M11</f>
        <v>1.45</v>
      </c>
      <c r="U11" s="14" t="str">
        <f aca="false">IF(T11&lt;Parameters!$B$6,"Below tolerance",IF(T11&lt;=Parameters!$B$7,"Approximately at tolerance","Above tolerance"))</f>
        <v>Above tolerance</v>
      </c>
      <c r="V11" s="12" t="n">
        <f aca="false">IF(O11=0,0,(L11-S11)/O11*1000)</f>
        <v>5.61293870739355</v>
      </c>
      <c r="W11" s="14" t="str">
        <f aca="false">IF(AND(P11&gt;=0,P11&lt;=1,Q11&gt;=0,Q11&lt;=1),"OK","CHECK")</f>
        <v>OK</v>
      </c>
    </row>
    <row r="12" customFormat="false" ht="23.25" hidden="false" customHeight="true" outlineLevel="0" collapsed="false">
      <c r="A12" s="6" t="str">
        <f aca="false">Inputs!A11</f>
        <v>S8</v>
      </c>
      <c r="B12" s="7" t="str">
        <f aca="false">Inputs!B11</f>
        <v>Detection and response gaps allow an intrusion to persist and escalate</v>
      </c>
      <c r="C12" s="8" t="n">
        <f aca="false">Inputs!C11</f>
        <v>0.8</v>
      </c>
      <c r="D12" s="8" t="n">
        <f aca="false">Inputs!D11</f>
        <v>0.6</v>
      </c>
      <c r="E12" s="9" t="n">
        <f aca="false">Inputs!J11</f>
        <v>9.2</v>
      </c>
      <c r="F12" s="8" t="n">
        <f aca="false">Inputs!E11</f>
        <v>0.6</v>
      </c>
      <c r="G12" s="8" t="n">
        <f aca="false">Inputs!F11</f>
        <v>0.9</v>
      </c>
      <c r="H12" s="8" t="n">
        <f aca="false">Inputs!H11</f>
        <v>0.85</v>
      </c>
      <c r="I12" s="8" t="n">
        <f aca="false">Inputs!G11</f>
        <v>0.3</v>
      </c>
      <c r="J12" s="8" t="n">
        <f aca="false">Parameters!$B$4</f>
        <v>0.3</v>
      </c>
      <c r="K12" s="10" t="n">
        <f aca="false">Parameters!$B$5</f>
        <v>1000</v>
      </c>
      <c r="L12" s="11" t="n">
        <f aca="false">C12*D12*E12*((F12+G12)/2)*H12/I12*K12</f>
        <v>9384</v>
      </c>
      <c r="M12" s="11" t="n">
        <f aca="false">C12*D12*E12*J12*H12/I12*K12</f>
        <v>3753.6</v>
      </c>
      <c r="N12" s="12" t="n">
        <f aca="false">L12/M12</f>
        <v>2.5</v>
      </c>
      <c r="O12" s="13" t="n">
        <f aca="false">Portfolio!R27</f>
        <v>108978.524743231</v>
      </c>
      <c r="P12" s="8" t="n">
        <f aca="false">Inputs!K11</f>
        <v>0.7</v>
      </c>
      <c r="Q12" s="8" t="n">
        <f aca="false">Inputs!L11</f>
        <v>0.8</v>
      </c>
      <c r="R12" s="11" t="n">
        <f aca="false">L12*P12*Q12</f>
        <v>5255.04</v>
      </c>
      <c r="S12" s="11" t="n">
        <f aca="false">L12-R12</f>
        <v>4128.96</v>
      </c>
      <c r="T12" s="12" t="n">
        <f aca="false">S12/M12</f>
        <v>1.1</v>
      </c>
      <c r="U12" s="14" t="str">
        <f aca="false">IF(T12&lt;Parameters!$B$6,"Below tolerance",IF(T12&lt;=Parameters!$B$7,"Approximately at tolerance","Above tolerance"))</f>
        <v>Approximately at tolerance</v>
      </c>
      <c r="V12" s="12" t="n">
        <f aca="false">IF(O12=0,0,(L12-S12)/O12*1000)</f>
        <v>48.2208766578704</v>
      </c>
      <c r="W12" s="14" t="str">
        <f aca="false">IF(AND(P12&gt;=0,P12&lt;=1,Q12&gt;=0,Q12&lt;=1),"OK","CHECK")</f>
        <v>OK</v>
      </c>
    </row>
    <row r="13" customFormat="false" ht="23.25" hidden="false" customHeight="true" outlineLevel="0" collapsed="false">
      <c r="A13" s="6" t="str">
        <f aca="false">Inputs!A12</f>
        <v>S9</v>
      </c>
      <c r="B13" s="7" t="str">
        <f aca="false">Inputs!B12</f>
        <v>Compromise of a critical vendor with remote access to MediBec systems</v>
      </c>
      <c r="C13" s="8" t="n">
        <f aca="false">Inputs!C12</f>
        <v>0.55</v>
      </c>
      <c r="D13" s="8" t="n">
        <f aca="false">Inputs!D12</f>
        <v>0.45</v>
      </c>
      <c r="E13" s="9" t="n">
        <f aca="false">Inputs!J12</f>
        <v>9</v>
      </c>
      <c r="F13" s="8" t="n">
        <f aca="false">Inputs!E12</f>
        <v>0.6</v>
      </c>
      <c r="G13" s="8" t="n">
        <f aca="false">Inputs!F12</f>
        <v>0.9</v>
      </c>
      <c r="H13" s="8" t="n">
        <f aca="false">Inputs!H12</f>
        <v>0.85</v>
      </c>
      <c r="I13" s="8" t="n">
        <f aca="false">Inputs!G12</f>
        <v>0.35</v>
      </c>
      <c r="J13" s="8" t="n">
        <f aca="false">Parameters!$B$4</f>
        <v>0.3</v>
      </c>
      <c r="K13" s="10" t="n">
        <f aca="false">Parameters!$B$5</f>
        <v>1000</v>
      </c>
      <c r="L13" s="11" t="n">
        <f aca="false">C13*D13*E13*((F13+G13)/2)*H13/I13*K13</f>
        <v>4057.23214285714</v>
      </c>
      <c r="M13" s="11" t="n">
        <f aca="false">C13*D13*E13*J13*H13/I13*K13</f>
        <v>1622.89285714286</v>
      </c>
      <c r="N13" s="12" t="n">
        <f aca="false">L13/M13</f>
        <v>2.5</v>
      </c>
      <c r="O13" s="13" t="n">
        <f aca="false">Portfolio!S27</f>
        <v>209645.191409897</v>
      </c>
      <c r="P13" s="8" t="n">
        <f aca="false">Inputs!K12</f>
        <v>0.55</v>
      </c>
      <c r="Q13" s="8" t="n">
        <f aca="false">Inputs!L12</f>
        <v>0.7</v>
      </c>
      <c r="R13" s="11" t="n">
        <f aca="false">L13*P13*Q13</f>
        <v>1562.034375</v>
      </c>
      <c r="S13" s="11" t="n">
        <f aca="false">L13-R13</f>
        <v>2495.19776785714</v>
      </c>
      <c r="T13" s="12" t="n">
        <f aca="false">S13/M13</f>
        <v>1.5375</v>
      </c>
      <c r="U13" s="14" t="str">
        <f aca="false">IF(T13&lt;Parameters!$B$6,"Below tolerance",IF(T13&lt;=Parameters!$B$7,"Approximately at tolerance","Above tolerance"))</f>
        <v>Above tolerance</v>
      </c>
      <c r="V13" s="12" t="n">
        <f aca="false">IF(O13=0,0,(L13-S13)/O13*1000)</f>
        <v>7.45084761780163</v>
      </c>
      <c r="W13" s="14" t="str">
        <f aca="false">IF(AND(P13&gt;=0,P13&lt;=1,Q13&gt;=0,Q13&lt;=1),"OK","CHECK")</f>
        <v>OK</v>
      </c>
    </row>
    <row r="14" customFormat="false" ht="23.25" hidden="false" customHeight="true" outlineLevel="0" collapsed="false">
      <c r="A14" s="6" t="str">
        <f aca="false">Inputs!A13</f>
        <v>S10</v>
      </c>
      <c r="B14" s="7" t="str">
        <f aca="false">Inputs!B13</f>
        <v>Manipulation of patient, medication or billing records undermining clinical decisions</v>
      </c>
      <c r="C14" s="8" t="n">
        <f aca="false">Inputs!C13</f>
        <v>0.3</v>
      </c>
      <c r="D14" s="8" t="n">
        <f aca="false">Inputs!D13</f>
        <v>0.4</v>
      </c>
      <c r="E14" s="9" t="n">
        <f aca="false">Inputs!J13</f>
        <v>8.3</v>
      </c>
      <c r="F14" s="8" t="n">
        <f aca="false">Inputs!E13</f>
        <v>0.55</v>
      </c>
      <c r="G14" s="8" t="n">
        <f aca="false">Inputs!F13</f>
        <v>0.95</v>
      </c>
      <c r="H14" s="8" t="n">
        <f aca="false">Inputs!H13</f>
        <v>0.95</v>
      </c>
      <c r="I14" s="8" t="n">
        <f aca="false">Inputs!G13</f>
        <v>0.4</v>
      </c>
      <c r="J14" s="8" t="n">
        <f aca="false">Parameters!$B$4</f>
        <v>0.3</v>
      </c>
      <c r="K14" s="10" t="n">
        <f aca="false">Parameters!$B$5</f>
        <v>1000</v>
      </c>
      <c r="L14" s="11" t="n">
        <f aca="false">C14*D14*E14*((F14+G14)/2)*H14/I14*K14</f>
        <v>1774.125</v>
      </c>
      <c r="M14" s="11" t="n">
        <f aca="false">C14*D14*E14*J14*H14/I14*K14</f>
        <v>709.65</v>
      </c>
      <c r="N14" s="12" t="n">
        <f aca="false">L14/M14</f>
        <v>2.5</v>
      </c>
      <c r="O14" s="13" t="n">
        <f aca="false">Portfolio!T27</f>
        <v>355145.191409897</v>
      </c>
      <c r="P14" s="8" t="n">
        <f aca="false">Inputs!K13</f>
        <v>0.7</v>
      </c>
      <c r="Q14" s="8" t="n">
        <f aca="false">Inputs!L13</f>
        <v>0.75</v>
      </c>
      <c r="R14" s="11" t="n">
        <f aca="false">L14*P14*Q14</f>
        <v>931.415625</v>
      </c>
      <c r="S14" s="11" t="n">
        <f aca="false">L14-R14</f>
        <v>842.709375</v>
      </c>
      <c r="T14" s="12" t="n">
        <f aca="false">S14/M14</f>
        <v>1.1875</v>
      </c>
      <c r="U14" s="14" t="str">
        <f aca="false">IF(T14&lt;Parameters!$B$6,"Below tolerance",IF(T14&lt;=Parameters!$B$7,"Approximately at tolerance","Above tolerance"))</f>
        <v>Above tolerance</v>
      </c>
      <c r="V14" s="12" t="n">
        <f aca="false">IF(O14=0,0,(L14-S14)/O14*1000)</f>
        <v>2.62263335539574</v>
      </c>
      <c r="W14" s="14" t="str">
        <f aca="false">IF(AND(P14&gt;=0,P14&lt;=1,Q14&gt;=0,Q14&lt;=1),"OK","CHECK")</f>
        <v>OK</v>
      </c>
    </row>
    <row r="15" customFormat="false" ht="23.25" hidden="false" customHeight="true" outlineLevel="0" collapsed="false">
      <c r="A15" s="6" t="str">
        <f aca="false">Inputs!A14</f>
        <v>S11</v>
      </c>
      <c r="B15" s="7" t="str">
        <f aca="false">Inputs!B14</f>
        <v>API key or secret exposed in code, logs or configuration enables direct data access</v>
      </c>
      <c r="C15" s="8" t="n">
        <f aca="false">Inputs!C14</f>
        <v>0.45</v>
      </c>
      <c r="D15" s="8" t="n">
        <f aca="false">Inputs!D14</f>
        <v>0.45</v>
      </c>
      <c r="E15" s="9" t="n">
        <f aca="false">Inputs!J14</f>
        <v>8.3</v>
      </c>
      <c r="F15" s="8" t="n">
        <f aca="false">Inputs!E14</f>
        <v>0.5</v>
      </c>
      <c r="G15" s="8" t="n">
        <f aca="false">Inputs!F14</f>
        <v>0.8</v>
      </c>
      <c r="H15" s="8" t="n">
        <f aca="false">Inputs!H14</f>
        <v>0.75</v>
      </c>
      <c r="I15" s="8" t="n">
        <f aca="false">Inputs!G14</f>
        <v>0.4</v>
      </c>
      <c r="J15" s="8" t="n">
        <f aca="false">Parameters!$B$4</f>
        <v>0.3</v>
      </c>
      <c r="K15" s="10" t="n">
        <f aca="false">Parameters!$B$5</f>
        <v>1000</v>
      </c>
      <c r="L15" s="11" t="n">
        <f aca="false">C15*D15*E15*((F15+G15)/2)*H15/I15*K15</f>
        <v>2048.4140625</v>
      </c>
      <c r="M15" s="11" t="n">
        <f aca="false">C15*D15*E15*J15*H15/I15*K15</f>
        <v>945.421875</v>
      </c>
      <c r="N15" s="12" t="n">
        <f aca="false">L15/M15</f>
        <v>2.16666666666667</v>
      </c>
      <c r="O15" s="13" t="n">
        <f aca="false">Portfolio!U27</f>
        <v>201470.588235294</v>
      </c>
      <c r="P15" s="8" t="n">
        <f aca="false">Inputs!K14</f>
        <v>0.85</v>
      </c>
      <c r="Q15" s="8" t="n">
        <f aca="false">Inputs!L14</f>
        <v>0.6</v>
      </c>
      <c r="R15" s="11" t="n">
        <f aca="false">L15*P15*Q15</f>
        <v>1044.691171875</v>
      </c>
      <c r="S15" s="11" t="n">
        <f aca="false">L15-R15</f>
        <v>1003.722890625</v>
      </c>
      <c r="T15" s="12" t="n">
        <f aca="false">S15/M15</f>
        <v>1.06166666666667</v>
      </c>
      <c r="U15" s="14" t="str">
        <f aca="false">IF(T15&lt;Parameters!$B$6,"Below tolerance",IF(T15&lt;=Parameters!$B$7,"Approximately at tolerance","Above tolerance"))</f>
        <v>Approximately at tolerance</v>
      </c>
      <c r="V15" s="12" t="n">
        <f aca="false">IF(O15=0,0,(L15-S15)/O15*1000)</f>
        <v>5.18532844434307</v>
      </c>
      <c r="W15" s="14" t="str">
        <f aca="false">IF(AND(P15&gt;=0,P15&lt;=1,Q15&gt;=0,Q15&lt;=1),"OK","CHECK")</f>
        <v>OK</v>
      </c>
    </row>
    <row r="16" customFormat="false" ht="23.25" hidden="false" customHeight="true" outlineLevel="0" collapsed="false">
      <c r="A16" s="6" t="str">
        <f aca="false">Inputs!A15</f>
        <v>S12</v>
      </c>
      <c r="B16" s="7" t="str">
        <f aca="false">Inputs!B15</f>
        <v>Clinic Wi-Fi compromise or rogue access point gives access to the clinical network</v>
      </c>
      <c r="C16" s="8" t="n">
        <f aca="false">Inputs!C15</f>
        <v>0.4</v>
      </c>
      <c r="D16" s="8" t="n">
        <f aca="false">Inputs!D15</f>
        <v>0.45</v>
      </c>
      <c r="E16" s="9" t="n">
        <f aca="false">Inputs!J15</f>
        <v>6.4</v>
      </c>
      <c r="F16" s="8" t="n">
        <f aca="false">Inputs!E15</f>
        <v>0.4</v>
      </c>
      <c r="G16" s="8" t="n">
        <f aca="false">Inputs!F15</f>
        <v>0.75</v>
      </c>
      <c r="H16" s="8" t="n">
        <f aca="false">Inputs!H15</f>
        <v>0.7</v>
      </c>
      <c r="I16" s="8" t="n">
        <f aca="false">Inputs!G15</f>
        <v>0.4</v>
      </c>
      <c r="J16" s="8" t="n">
        <f aca="false">Parameters!$B$4</f>
        <v>0.3</v>
      </c>
      <c r="K16" s="10" t="n">
        <f aca="false">Parameters!$B$5</f>
        <v>1000</v>
      </c>
      <c r="L16" s="11" t="n">
        <f aca="false">C16*D16*E16*((F16+G16)/2)*H16/I16*K16</f>
        <v>1159.2</v>
      </c>
      <c r="M16" s="11" t="n">
        <f aca="false">C16*D16*E16*J16*H16/I16*K16</f>
        <v>604.8</v>
      </c>
      <c r="N16" s="12" t="n">
        <f aca="false">L16/M16</f>
        <v>1.91666666666667</v>
      </c>
      <c r="O16" s="13" t="n">
        <f aca="false">Portfolio!V27</f>
        <v>110756.302521008</v>
      </c>
      <c r="P16" s="8" t="n">
        <f aca="false">Inputs!K15</f>
        <v>0.8</v>
      </c>
      <c r="Q16" s="8" t="n">
        <f aca="false">Inputs!L15</f>
        <v>0.65</v>
      </c>
      <c r="R16" s="11" t="n">
        <f aca="false">L16*P16*Q16</f>
        <v>602.784</v>
      </c>
      <c r="S16" s="11" t="n">
        <f aca="false">L16-R16</f>
        <v>556.416</v>
      </c>
      <c r="T16" s="12" t="n">
        <f aca="false">S16/M16</f>
        <v>0.92</v>
      </c>
      <c r="U16" s="14" t="str">
        <f aca="false">IF(T16&lt;Parameters!$B$6,"Below tolerance",IF(T16&lt;=Parameters!$B$7,"Approximately at tolerance","Above tolerance"))</f>
        <v>Approximately at tolerance</v>
      </c>
      <c r="V16" s="12" t="n">
        <f aca="false">IF(O16=0,0,(L16-S16)/O16*1000)</f>
        <v>5.44243520485584</v>
      </c>
      <c r="W16" s="14" t="str">
        <f aca="false">IF(AND(P16&gt;=0,P16&lt;=1,Q16&gt;=0,Q16&lt;=1),"OK","CHECK")</f>
        <v>OK</v>
      </c>
    </row>
    <row r="17" customFormat="false" ht="23.25" hidden="false" customHeight="true" outlineLevel="0" collapsed="false">
      <c r="A17" s="6" t="str">
        <f aca="false">Inputs!A16</f>
        <v>S13</v>
      </c>
      <c r="B17" s="7" t="str">
        <f aca="false">Inputs!B16</f>
        <v>DDoS attack disrupts online booking, patient portal and communications</v>
      </c>
      <c r="C17" s="8" t="n">
        <f aca="false">Inputs!C16</f>
        <v>0.5</v>
      </c>
      <c r="D17" s="8" t="n">
        <f aca="false">Inputs!D16</f>
        <v>0.6</v>
      </c>
      <c r="E17" s="9" t="n">
        <f aca="false">Inputs!J16</f>
        <v>8.7</v>
      </c>
      <c r="F17" s="8" t="n">
        <f aca="false">Inputs!E16</f>
        <v>0.3</v>
      </c>
      <c r="G17" s="8" t="n">
        <f aca="false">Inputs!F16</f>
        <v>0.55</v>
      </c>
      <c r="H17" s="8" t="n">
        <f aca="false">Inputs!H16</f>
        <v>0.55</v>
      </c>
      <c r="I17" s="8" t="n">
        <f aca="false">Inputs!G16</f>
        <v>0.45</v>
      </c>
      <c r="J17" s="8" t="n">
        <f aca="false">Parameters!$B$4</f>
        <v>0.3</v>
      </c>
      <c r="K17" s="10" t="n">
        <f aca="false">Parameters!$B$5</f>
        <v>1000</v>
      </c>
      <c r="L17" s="11" t="n">
        <f aca="false">C17*D17*E17*((F17+G17)/2)*H17/I17*K17</f>
        <v>1355.75</v>
      </c>
      <c r="M17" s="11" t="n">
        <f aca="false">C17*D17*E17*J17*H17/I17*K17</f>
        <v>957</v>
      </c>
      <c r="N17" s="12" t="n">
        <f aca="false">L17/M17</f>
        <v>1.41666666666667</v>
      </c>
      <c r="O17" s="13" t="n">
        <f aca="false">Portfolio!W27</f>
        <v>72222.2222222222</v>
      </c>
      <c r="P17" s="8" t="n">
        <f aca="false">Inputs!K16</f>
        <v>0.8</v>
      </c>
      <c r="Q17" s="8" t="n">
        <f aca="false">Inputs!L16</f>
        <v>0.7</v>
      </c>
      <c r="R17" s="11" t="n">
        <f aca="false">L17*P17*Q17</f>
        <v>759.22</v>
      </c>
      <c r="S17" s="11" t="n">
        <f aca="false">L17-R17</f>
        <v>596.53</v>
      </c>
      <c r="T17" s="12" t="n">
        <f aca="false">S17/M17</f>
        <v>0.623333333333334</v>
      </c>
      <c r="U17" s="14" t="str">
        <f aca="false">IF(T17&lt;Parameters!$B$6,"Below tolerance",IF(T17&lt;=Parameters!$B$7,"Approximately at tolerance","Above tolerance"))</f>
        <v>Below tolerance</v>
      </c>
      <c r="V17" s="12" t="n">
        <f aca="false">IF(O17=0,0,(L17-S17)/O17*1000)</f>
        <v>10.5122769230769</v>
      </c>
      <c r="W17" s="14" t="str">
        <f aca="false">IF(AND(P17&gt;=0,P17&lt;=1,Q17&gt;=0,Q17&lt;=1),"OK","CHECK")</f>
        <v>OK</v>
      </c>
    </row>
    <row r="18" customFormat="false" ht="15" hidden="false" customHeight="true" outlineLevel="0" collapsed="false">
      <c r="A18" s="6" t="str">
        <f aca="false">Inputs!A17</f>
        <v>S14</v>
      </c>
      <c r="B18" s="7" t="str">
        <f aca="false">Inputs!B17</f>
        <v>Business e-mail compromise diverts vendor or billing payments</v>
      </c>
      <c r="C18" s="8" t="n">
        <f aca="false">Inputs!C17</f>
        <v>0.65</v>
      </c>
      <c r="D18" s="8" t="n">
        <f aca="false">Inputs!D17</f>
        <v>0.4</v>
      </c>
      <c r="E18" s="9" t="n">
        <f aca="false">Inputs!J17</f>
        <v>5.1</v>
      </c>
      <c r="F18" s="8" t="n">
        <f aca="false">Inputs!E17</f>
        <v>0.35</v>
      </c>
      <c r="G18" s="8" t="n">
        <f aca="false">Inputs!F17</f>
        <v>0.6</v>
      </c>
      <c r="H18" s="8" t="n">
        <f aca="false">Inputs!H17</f>
        <v>0.55</v>
      </c>
      <c r="I18" s="8" t="n">
        <f aca="false">Inputs!G17</f>
        <v>0.45</v>
      </c>
      <c r="J18" s="8" t="n">
        <f aca="false">Parameters!$B$4</f>
        <v>0.3</v>
      </c>
      <c r="K18" s="10" t="n">
        <f aca="false">Parameters!$B$5</f>
        <v>1000</v>
      </c>
      <c r="L18" s="11" t="n">
        <f aca="false">C18*D18*E18*((F18+G18)/2)*H18/I18*K18</f>
        <v>769.816666666667</v>
      </c>
      <c r="M18" s="11" t="n">
        <f aca="false">C18*D18*E18*J18*H18/I18*K18</f>
        <v>486.2</v>
      </c>
      <c r="N18" s="12" t="n">
        <f aca="false">L18/M18</f>
        <v>1.58333333333333</v>
      </c>
      <c r="O18" s="13" t="n">
        <f aca="false">Portfolio!X27</f>
        <v>38500</v>
      </c>
      <c r="P18" s="8" t="n">
        <f aca="false">Inputs!K17</f>
        <v>0.8</v>
      </c>
      <c r="Q18" s="8" t="n">
        <f aca="false">Inputs!L17</f>
        <v>0.6</v>
      </c>
      <c r="R18" s="11" t="n">
        <f aca="false">L18*P18*Q18</f>
        <v>369.512</v>
      </c>
      <c r="S18" s="11" t="n">
        <f aca="false">L18-R18</f>
        <v>400.304666666667</v>
      </c>
      <c r="T18" s="12" t="n">
        <f aca="false">S18/M18</f>
        <v>0.823333333333333</v>
      </c>
      <c r="U18" s="14" t="str">
        <f aca="false">IF(T18&lt;Parameters!$B$6,"Below tolerance",IF(T18&lt;=Parameters!$B$7,"Approximately at tolerance","Above tolerance"))</f>
        <v>Below tolerance</v>
      </c>
      <c r="V18" s="12" t="n">
        <f aca="false">IF(O18=0,0,(L18-S18)/O18*1000)</f>
        <v>9.59771428571429</v>
      </c>
      <c r="W18" s="14" t="str">
        <f aca="false">IF(AND(P18&gt;=0,P18&lt;=1,Q18&gt;=0,Q18&lt;=1),"OK","CHECK")</f>
        <v>OK</v>
      </c>
    </row>
    <row r="19" customFormat="false" ht="15" hidden="false" customHeight="true" outlineLevel="0" collapsed="false">
      <c r="A19" s="6" t="str">
        <f aca="false">Inputs!A18</f>
        <v>S15</v>
      </c>
      <c r="B19" s="7" t="str">
        <f aca="false">Inputs!B18</f>
        <v>Lost or stolen tablet or handheld exposes patient data</v>
      </c>
      <c r="C19" s="8" t="n">
        <f aca="false">Inputs!C18</f>
        <v>0.7</v>
      </c>
      <c r="D19" s="8" t="n">
        <f aca="false">Inputs!D18</f>
        <v>0.3</v>
      </c>
      <c r="E19" s="9" t="n">
        <f aca="false">Inputs!J18</f>
        <v>5.1</v>
      </c>
      <c r="F19" s="8" t="n">
        <f aca="false">Inputs!E18</f>
        <v>0.25</v>
      </c>
      <c r="G19" s="8" t="n">
        <f aca="false">Inputs!F18</f>
        <v>0.55</v>
      </c>
      <c r="H19" s="8" t="n">
        <f aca="false">Inputs!H18</f>
        <v>0.6</v>
      </c>
      <c r="I19" s="8" t="n">
        <f aca="false">Inputs!G18</f>
        <v>0.45</v>
      </c>
      <c r="J19" s="8" t="n">
        <f aca="false">Parameters!$B$4</f>
        <v>0.3</v>
      </c>
      <c r="K19" s="10" t="n">
        <f aca="false">Parameters!$B$5</f>
        <v>1000</v>
      </c>
      <c r="L19" s="11" t="n">
        <f aca="false">C19*D19*E19*((F19+G19)/2)*H19/I19*K19</f>
        <v>571.2</v>
      </c>
      <c r="M19" s="11" t="n">
        <f aca="false">C19*D19*E19*J19*H19/I19*K19</f>
        <v>428.4</v>
      </c>
      <c r="N19" s="12" t="n">
        <f aca="false">L19/M19</f>
        <v>1.33333333333333</v>
      </c>
      <c r="O19" s="13" t="n">
        <f aca="false">Portfolio!Y27</f>
        <v>43333.3333333333</v>
      </c>
      <c r="P19" s="8" t="n">
        <f aca="false">Inputs!K18</f>
        <v>0.75</v>
      </c>
      <c r="Q19" s="8" t="n">
        <f aca="false">Inputs!L18</f>
        <v>0.8</v>
      </c>
      <c r="R19" s="11" t="n">
        <f aca="false">L19*P19*Q19</f>
        <v>342.72</v>
      </c>
      <c r="S19" s="11" t="n">
        <f aca="false">L19-R19</f>
        <v>228.48</v>
      </c>
      <c r="T19" s="12" t="n">
        <f aca="false">S19/M19</f>
        <v>0.533333333333333</v>
      </c>
      <c r="U19" s="14" t="str">
        <f aca="false">IF(T19&lt;Parameters!$B$6,"Below tolerance",IF(T19&lt;=Parameters!$B$7,"Approximately at tolerance","Above tolerance"))</f>
        <v>Below tolerance</v>
      </c>
      <c r="V19" s="12" t="n">
        <f aca="false">IF(O19=0,0,(L19-S19)/O19*1000)</f>
        <v>7.90892307692308</v>
      </c>
      <c r="W19" s="14" t="str">
        <f aca="false">IF(AND(P19&gt;=0,P19&lt;=1,Q19&gt;=0,Q19&lt;=1),"OK","CHECK")</f>
        <v>OK</v>
      </c>
    </row>
    <row r="20" customFormat="false" ht="23.25" hidden="false" customHeight="true" outlineLevel="0" collapsed="false">
      <c r="A20" s="6" t="str">
        <f aca="false">Inputs!A19</f>
        <v>S16</v>
      </c>
      <c r="B20" s="7" t="str">
        <f aca="false">Inputs!B19</f>
        <v>Loss of the Montreal hub or WAN isolates clinics from central clinical systems</v>
      </c>
      <c r="C20" s="8" t="n">
        <f aca="false">Inputs!C19</f>
        <v>0.35</v>
      </c>
      <c r="D20" s="8" t="n">
        <f aca="false">Inputs!D19</f>
        <v>0.5</v>
      </c>
      <c r="E20" s="9" t="n">
        <f aca="false">Inputs!J19</f>
        <v>8.9</v>
      </c>
      <c r="F20" s="8" t="n">
        <f aca="false">Inputs!E19</f>
        <v>0.55</v>
      </c>
      <c r="G20" s="8" t="n">
        <f aca="false">Inputs!F19</f>
        <v>0.85</v>
      </c>
      <c r="H20" s="8" t="n">
        <f aca="false">Inputs!H19</f>
        <v>0.95</v>
      </c>
      <c r="I20" s="8" t="n">
        <f aca="false">Inputs!G19</f>
        <v>0.35</v>
      </c>
      <c r="J20" s="8" t="n">
        <f aca="false">Parameters!$B$4</f>
        <v>0.3</v>
      </c>
      <c r="K20" s="10" t="n">
        <f aca="false">Parameters!$B$5</f>
        <v>1000</v>
      </c>
      <c r="L20" s="11" t="n">
        <f aca="false">C20*D20*E20*((F20+G20)/2)*H20/I20*K20</f>
        <v>2959.25</v>
      </c>
      <c r="M20" s="11" t="n">
        <f aca="false">C20*D20*E20*J20*H20/I20*K20</f>
        <v>1268.25</v>
      </c>
      <c r="N20" s="12" t="n">
        <f aca="false">L20/M20</f>
        <v>2.33333333333333</v>
      </c>
      <c r="O20" s="13" t="n">
        <f aca="false">Portfolio!Z27</f>
        <v>492222.222222222</v>
      </c>
      <c r="P20" s="8" t="n">
        <f aca="false">Inputs!K19</f>
        <v>0.7</v>
      </c>
      <c r="Q20" s="8" t="n">
        <f aca="false">Inputs!L19</f>
        <v>0.65</v>
      </c>
      <c r="R20" s="11" t="n">
        <f aca="false">L20*P20*Q20</f>
        <v>1346.45875</v>
      </c>
      <c r="S20" s="11" t="n">
        <f aca="false">L20-R20</f>
        <v>1612.79125</v>
      </c>
      <c r="T20" s="12" t="n">
        <f aca="false">S20/M20</f>
        <v>1.27166666666667</v>
      </c>
      <c r="U20" s="14" t="str">
        <f aca="false">IF(T20&lt;Parameters!$B$6,"Below tolerance",IF(T20&lt;=Parameters!$B$7,"Approximately at tolerance","Above tolerance"))</f>
        <v>Above tolerance</v>
      </c>
      <c r="V20" s="12" t="n">
        <f aca="false">IF(O20=0,0,(L20-S20)/O20*1000)</f>
        <v>2.73546924379232</v>
      </c>
      <c r="W20" s="14" t="str">
        <f aca="false">IF(AND(P20&gt;=0,P20&lt;=1,Q20&gt;=0,Q20&lt;=1),"OK","CHECK")</f>
        <v>OK</v>
      </c>
    </row>
    <row r="21" customFormat="false" ht="23.25" hidden="false" customHeight="true" outlineLevel="0" collapsed="false">
      <c r="A21" s="6" t="str">
        <f aca="false">Inputs!A20</f>
        <v>S17</v>
      </c>
      <c r="B21" s="7" t="str">
        <f aca="false">Inputs!B20</f>
        <v>Unmanaged patient data on local clinic storage is exposed or lost</v>
      </c>
      <c r="C21" s="8" t="n">
        <f aca="false">Inputs!C20</f>
        <v>0.45</v>
      </c>
      <c r="D21" s="8" t="n">
        <f aca="false">Inputs!D20</f>
        <v>0.45</v>
      </c>
      <c r="E21" s="9" t="n">
        <f aca="false">Inputs!J20</f>
        <v>7</v>
      </c>
      <c r="F21" s="8" t="n">
        <f aca="false">Inputs!E20</f>
        <v>0.4</v>
      </c>
      <c r="G21" s="8" t="n">
        <f aca="false">Inputs!F20</f>
        <v>0.7</v>
      </c>
      <c r="H21" s="8" t="n">
        <f aca="false">Inputs!H20</f>
        <v>0.65</v>
      </c>
      <c r="I21" s="8" t="n">
        <f aca="false">Inputs!G20</f>
        <v>0.4</v>
      </c>
      <c r="J21" s="8" t="n">
        <f aca="false">Parameters!$B$4</f>
        <v>0.3</v>
      </c>
      <c r="K21" s="10" t="n">
        <f aca="false">Parameters!$B$5</f>
        <v>1000</v>
      </c>
      <c r="L21" s="11" t="n">
        <f aca="false">C21*D21*E21*((F21+G21)/2)*H21/I21*K21</f>
        <v>1266.890625</v>
      </c>
      <c r="M21" s="11" t="n">
        <f aca="false">C21*D21*E21*J21*H21/I21*K21</f>
        <v>691.03125</v>
      </c>
      <c r="N21" s="12" t="n">
        <f aca="false">L21/M21</f>
        <v>1.83333333333333</v>
      </c>
      <c r="O21" s="13" t="n">
        <f aca="false">Portfolio!AA27</f>
        <v>96666.6666666667</v>
      </c>
      <c r="P21" s="8" t="n">
        <f aca="false">Inputs!K20</f>
        <v>0.7</v>
      </c>
      <c r="Q21" s="8" t="n">
        <f aca="false">Inputs!L20</f>
        <v>0.7</v>
      </c>
      <c r="R21" s="11" t="n">
        <f aca="false">L21*P21*Q21</f>
        <v>620.77640625</v>
      </c>
      <c r="S21" s="11" t="n">
        <f aca="false">L21-R21</f>
        <v>646.11421875</v>
      </c>
      <c r="T21" s="12" t="n">
        <f aca="false">S21/M21</f>
        <v>0.935</v>
      </c>
      <c r="U21" s="14" t="str">
        <f aca="false">IF(T21&lt;Parameters!$B$6,"Below tolerance",IF(T21&lt;=Parameters!$B$7,"Approximately at tolerance","Above tolerance"))</f>
        <v>Approximately at tolerance</v>
      </c>
      <c r="V21" s="12" t="n">
        <f aca="false">IF(O21=0,0,(L21-S21)/O21*1000)</f>
        <v>6.42182489224138</v>
      </c>
      <c r="W21" s="14" t="str">
        <f aca="false">IF(AND(P21&gt;=0,P21&lt;=1,Q21&gt;=0,Q21&lt;=1),"OK","CHECK")</f>
        <v>OK</v>
      </c>
    </row>
    <row r="22" customFormat="false" ht="23.25" hidden="false" customHeight="true" outlineLevel="0" collapsed="false">
      <c r="A22" s="6" t="str">
        <f aca="false">Inputs!A21</f>
        <v>S18</v>
      </c>
      <c r="B22" s="7" t="str">
        <f aca="false">Inputs!B21</f>
        <v>Web application flaw in the patient portal exposes other patients' records</v>
      </c>
      <c r="C22" s="8" t="n">
        <f aca="false">Inputs!C21</f>
        <v>0.5</v>
      </c>
      <c r="D22" s="8" t="n">
        <f aca="false">Inputs!D21</f>
        <v>0.35</v>
      </c>
      <c r="E22" s="9" t="n">
        <f aca="false">Inputs!J21</f>
        <v>7.1</v>
      </c>
      <c r="F22" s="8" t="n">
        <f aca="false">Inputs!E21</f>
        <v>0.5</v>
      </c>
      <c r="G22" s="8" t="n">
        <f aca="false">Inputs!F21</f>
        <v>0.85</v>
      </c>
      <c r="H22" s="8" t="n">
        <f aca="false">Inputs!H21</f>
        <v>0.75</v>
      </c>
      <c r="I22" s="8" t="n">
        <f aca="false">Inputs!G21</f>
        <v>0.4</v>
      </c>
      <c r="J22" s="8" t="n">
        <f aca="false">Parameters!$B$4</f>
        <v>0.3</v>
      </c>
      <c r="K22" s="10" t="n">
        <f aca="false">Parameters!$B$5</f>
        <v>1000</v>
      </c>
      <c r="L22" s="11" t="n">
        <f aca="false">C22*D22*E22*((F22+G22)/2)*H22/I22*K22</f>
        <v>1572.5390625</v>
      </c>
      <c r="M22" s="11" t="n">
        <f aca="false">C22*D22*E22*J22*H22/I22*K22</f>
        <v>698.90625</v>
      </c>
      <c r="N22" s="12" t="n">
        <f aca="false">L22/M22</f>
        <v>2.25</v>
      </c>
      <c r="O22" s="13" t="n">
        <f aca="false">Portfolio!AB27</f>
        <v>264670.588235294</v>
      </c>
      <c r="P22" s="8" t="n">
        <f aca="false">Inputs!K21</f>
        <v>0.8</v>
      </c>
      <c r="Q22" s="8" t="n">
        <f aca="false">Inputs!L21</f>
        <v>0.6</v>
      </c>
      <c r="R22" s="11" t="n">
        <f aca="false">L22*P22*Q22</f>
        <v>754.81875</v>
      </c>
      <c r="S22" s="11" t="n">
        <f aca="false">L22-R22</f>
        <v>817.7203125</v>
      </c>
      <c r="T22" s="12" t="n">
        <f aca="false">S22/M22</f>
        <v>1.17</v>
      </c>
      <c r="U22" s="14" t="str">
        <f aca="false">IF(T22&lt;Parameters!$B$6,"Below tolerance",IF(T22&lt;=Parameters!$B$7,"Approximately at tolerance","Above tolerance"))</f>
        <v>Above tolerance</v>
      </c>
      <c r="V22" s="12" t="n">
        <f aca="false">IF(O22=0,0,(L22-S22)/O22*1000)</f>
        <v>2.85191775570076</v>
      </c>
      <c r="W22" s="14" t="str">
        <f aca="false">IF(AND(P22&gt;=0,P22&lt;=1,Q22&gt;=0,Q22&lt;=1),"OK","CHECK")</f>
        <v>OK</v>
      </c>
    </row>
    <row r="23" customFormat="false" ht="23.25" hidden="false" customHeight="true" outlineLevel="0" collapsed="false">
      <c r="A23" s="6" t="str">
        <f aca="false">Inputs!A22</f>
        <v>S19</v>
      </c>
      <c r="B23" s="7" t="str">
        <f aca="false">Inputs!B22</f>
        <v>Trojanized software update from a clinical or IT software supplier</v>
      </c>
      <c r="C23" s="8" t="n">
        <f aca="false">Inputs!C22</f>
        <v>0.25</v>
      </c>
      <c r="D23" s="8" t="n">
        <f aca="false">Inputs!D22</f>
        <v>0.5</v>
      </c>
      <c r="E23" s="9" t="n">
        <f aca="false">Inputs!J22</f>
        <v>9.5</v>
      </c>
      <c r="F23" s="8" t="n">
        <f aca="false">Inputs!E22</f>
        <v>0.6</v>
      </c>
      <c r="G23" s="8" t="n">
        <f aca="false">Inputs!F22</f>
        <v>0.95</v>
      </c>
      <c r="H23" s="8" t="n">
        <f aca="false">Inputs!H22</f>
        <v>0.85</v>
      </c>
      <c r="I23" s="8" t="n">
        <f aca="false">Inputs!G22</f>
        <v>0.35</v>
      </c>
      <c r="J23" s="8" t="n">
        <f aca="false">Parameters!$B$4</f>
        <v>0.3</v>
      </c>
      <c r="K23" s="10" t="n">
        <f aca="false">Parameters!$B$5</f>
        <v>1000</v>
      </c>
      <c r="L23" s="11" t="n">
        <f aca="false">C23*D23*E23*((F23+G23)/2)*H23/I23*K23</f>
        <v>2235.04464285714</v>
      </c>
      <c r="M23" s="11" t="n">
        <f aca="false">C23*D23*E23*J23*H23/I23*K23</f>
        <v>865.178571428571</v>
      </c>
      <c r="N23" s="12" t="n">
        <f aca="false">L23/M23</f>
        <v>2.58333333333333</v>
      </c>
      <c r="O23" s="13" t="n">
        <f aca="false">Portfolio!AC27</f>
        <v>138692.810457516</v>
      </c>
      <c r="P23" s="8" t="n">
        <f aca="false">Inputs!K22</f>
        <v>0.4</v>
      </c>
      <c r="Q23" s="8" t="n">
        <f aca="false">Inputs!L22</f>
        <v>0.65</v>
      </c>
      <c r="R23" s="11" t="n">
        <f aca="false">L23*P23*Q23</f>
        <v>581.111607142857</v>
      </c>
      <c r="S23" s="11" t="n">
        <f aca="false">L23-R23</f>
        <v>1653.93303571429</v>
      </c>
      <c r="T23" s="12" t="n">
        <f aca="false">S23/M23</f>
        <v>1.91166666666667</v>
      </c>
      <c r="U23" s="14" t="str">
        <f aca="false">IF(T23&lt;Parameters!$B$6,"Below tolerance",IF(T23&lt;=Parameters!$B$7,"Approximately at tolerance","Above tolerance"))</f>
        <v>Above tolerance</v>
      </c>
      <c r="V23" s="12" t="n">
        <f aca="false">IF(O23=0,0,(L23-S23)/O23*1000)</f>
        <v>4.18991875084152</v>
      </c>
      <c r="W23" s="14" t="str">
        <f aca="false">IF(AND(P23&gt;=0,P23&lt;=1,Q23&gt;=0,Q23&lt;=1),"OK","CHECK")</f>
        <v>OK</v>
      </c>
    </row>
    <row r="24" customFormat="false" ht="23.25" hidden="false" customHeight="true" outlineLevel="0" collapsed="false">
      <c r="A24" s="6" t="str">
        <f aca="false">Inputs!A23</f>
        <v>S20</v>
      </c>
      <c r="B24" s="7" t="str">
        <f aca="false">Inputs!B23</f>
        <v>Takeover of cloud tenant administration through token theft or malicious app consent</v>
      </c>
      <c r="C24" s="8" t="n">
        <f aca="false">Inputs!C23</f>
        <v>0.55</v>
      </c>
      <c r="D24" s="8" t="n">
        <f aca="false">Inputs!D23</f>
        <v>0.4</v>
      </c>
      <c r="E24" s="9" t="n">
        <f aca="false">Inputs!J23</f>
        <v>9.4</v>
      </c>
      <c r="F24" s="8" t="n">
        <f aca="false">Inputs!E23</f>
        <v>0.55</v>
      </c>
      <c r="G24" s="8" t="n">
        <f aca="false">Inputs!F23</f>
        <v>0.9</v>
      </c>
      <c r="H24" s="8" t="n">
        <f aca="false">Inputs!H23</f>
        <v>0.85</v>
      </c>
      <c r="I24" s="8" t="n">
        <f aca="false">Inputs!G23</f>
        <v>0.4</v>
      </c>
      <c r="J24" s="8" t="n">
        <f aca="false">Parameters!$B$4</f>
        <v>0.3</v>
      </c>
      <c r="K24" s="10" t="n">
        <f aca="false">Parameters!$B$5</f>
        <v>1000</v>
      </c>
      <c r="L24" s="11" t="n">
        <f aca="false">C24*D24*E24*((F24+G24)/2)*H24/I24*K24</f>
        <v>3186.0125</v>
      </c>
      <c r="M24" s="11" t="n">
        <f aca="false">C24*D24*E24*J24*H24/I24*K24</f>
        <v>1318.35</v>
      </c>
      <c r="N24" s="12" t="n">
        <f aca="false">L24/M24</f>
        <v>2.41666666666667</v>
      </c>
      <c r="O24" s="13" t="n">
        <f aca="false">Portfolio!AD27</f>
        <v>167422.969187675</v>
      </c>
      <c r="P24" s="8" t="n">
        <f aca="false">Inputs!K23</f>
        <v>0.8</v>
      </c>
      <c r="Q24" s="8" t="n">
        <f aca="false">Inputs!L23</f>
        <v>0.65</v>
      </c>
      <c r="R24" s="11" t="n">
        <f aca="false">L24*P24*Q24</f>
        <v>1656.7265</v>
      </c>
      <c r="S24" s="11" t="n">
        <f aca="false">L24-R24</f>
        <v>1529.286</v>
      </c>
      <c r="T24" s="12" t="n">
        <f aca="false">S24/M24</f>
        <v>1.16</v>
      </c>
      <c r="U24" s="14" t="str">
        <f aca="false">IF(T24&lt;Parameters!$B$6,"Below tolerance",IF(T24&lt;=Parameters!$B$7,"Approximately at tolerance","Above tolerance"))</f>
        <v>Above tolerance</v>
      </c>
      <c r="V24" s="12" t="n">
        <f aca="false">IF(O24=0,0,(L24-S24)/O24*1000)</f>
        <v>9.89545525347165</v>
      </c>
      <c r="W24" s="14" t="str">
        <f aca="false">IF(AND(P24&gt;=0,P24&lt;=1,Q24&gt;=0,Q24&lt;=1),"OK","CHECK")</f>
        <v>OK</v>
      </c>
    </row>
    <row r="25" customFormat="false" ht="15" hidden="false" customHeight="true" outlineLevel="0" collapsed="false">
      <c r="A25" s="6" t="str">
        <f aca="false">Inputs!A24</f>
        <v>S21</v>
      </c>
      <c r="B25" s="7" t="str">
        <f aca="false">Inputs!B24</f>
        <v>Accidental disclosure of patient information by staff</v>
      </c>
      <c r="C25" s="8" t="n">
        <f aca="false">Inputs!C24</f>
        <v>0.85</v>
      </c>
      <c r="D25" s="8" t="n">
        <f aca="false">Inputs!D24</f>
        <v>0.5</v>
      </c>
      <c r="E25" s="9" t="n">
        <f aca="false">Inputs!J24</f>
        <v>4.8</v>
      </c>
      <c r="F25" s="8" t="n">
        <f aca="false">Inputs!E24</f>
        <v>0.2</v>
      </c>
      <c r="G25" s="8" t="n">
        <f aca="false">Inputs!F24</f>
        <v>0.45</v>
      </c>
      <c r="H25" s="8" t="n">
        <f aca="false">Inputs!H24</f>
        <v>0.6</v>
      </c>
      <c r="I25" s="8" t="n">
        <f aca="false">Inputs!G24</f>
        <v>0.45</v>
      </c>
      <c r="J25" s="8" t="n">
        <f aca="false">Parameters!$B$4</f>
        <v>0.3</v>
      </c>
      <c r="K25" s="10" t="n">
        <f aca="false">Parameters!$B$5</f>
        <v>1000</v>
      </c>
      <c r="L25" s="11" t="n">
        <f aca="false">C25*D25*E25*((F25+G25)/2)*H25/I25*K25</f>
        <v>884</v>
      </c>
      <c r="M25" s="11" t="n">
        <f aca="false">C25*D25*E25*J25*H25/I25*K25</f>
        <v>816</v>
      </c>
      <c r="N25" s="12" t="n">
        <f aca="false">L25/M25</f>
        <v>1.08333333333333</v>
      </c>
      <c r="O25" s="13" t="n">
        <f aca="false">Portfolio!AE27</f>
        <v>127333.333333333</v>
      </c>
      <c r="P25" s="8" t="n">
        <f aca="false">Inputs!K24</f>
        <v>0.6</v>
      </c>
      <c r="Q25" s="8" t="n">
        <f aca="false">Inputs!L24</f>
        <v>0.55</v>
      </c>
      <c r="R25" s="11" t="n">
        <f aca="false">L25*P25*Q25</f>
        <v>291.72</v>
      </c>
      <c r="S25" s="11" t="n">
        <f aca="false">L25-R25</f>
        <v>592.28</v>
      </c>
      <c r="T25" s="12" t="n">
        <f aca="false">S25/M25</f>
        <v>0.725833333333333</v>
      </c>
      <c r="U25" s="14" t="str">
        <f aca="false">IF(T25&lt;Parameters!$B$6,"Below tolerance",IF(T25&lt;=Parameters!$B$7,"Approximately at tolerance","Above tolerance"))</f>
        <v>Below tolerance</v>
      </c>
      <c r="V25" s="12" t="n">
        <f aca="false">IF(O25=0,0,(L25-S25)/O25*1000)</f>
        <v>2.29099476439791</v>
      </c>
      <c r="W25" s="14" t="str">
        <f aca="false">IF(AND(P25&gt;=0,P25&lt;=1,Q25&gt;=0,Q25&lt;=1),"OK","CHECK")</f>
        <v>OK</v>
      </c>
    </row>
    <row r="26" customFormat="false" ht="23.25" hidden="false" customHeight="true" outlineLevel="0" collapsed="false">
      <c r="A26" s="6" t="str">
        <f aca="false">Inputs!A25</f>
        <v>S22</v>
      </c>
      <c r="B26" s="7" t="str">
        <f aca="false">Inputs!B25</f>
        <v>Interception or exposure of teleconsultations and clinical messaging</v>
      </c>
      <c r="C26" s="8" t="n">
        <f aca="false">Inputs!C25</f>
        <v>0.35</v>
      </c>
      <c r="D26" s="8" t="n">
        <f aca="false">Inputs!D25</f>
        <v>0.35</v>
      </c>
      <c r="E26" s="9" t="n">
        <f aca="false">Inputs!J25</f>
        <v>8.2</v>
      </c>
      <c r="F26" s="8" t="n">
        <f aca="false">Inputs!E25</f>
        <v>0.3</v>
      </c>
      <c r="G26" s="8" t="n">
        <f aca="false">Inputs!F25</f>
        <v>0.55</v>
      </c>
      <c r="H26" s="8" t="n">
        <f aca="false">Inputs!H25</f>
        <v>0.6</v>
      </c>
      <c r="I26" s="8" t="n">
        <f aca="false">Inputs!G25</f>
        <v>0.45</v>
      </c>
      <c r="J26" s="8" t="n">
        <f aca="false">Parameters!$B$4</f>
        <v>0.3</v>
      </c>
      <c r="K26" s="10" t="n">
        <f aca="false">Parameters!$B$5</f>
        <v>1000</v>
      </c>
      <c r="L26" s="11" t="n">
        <f aca="false">C26*D26*E26*((F26+G26)/2)*H26/I26*K26</f>
        <v>569.216666666667</v>
      </c>
      <c r="M26" s="11" t="n">
        <f aca="false">C26*D26*E26*J26*H26/I26*K26</f>
        <v>401.8</v>
      </c>
      <c r="N26" s="12" t="n">
        <f aca="false">L26/M26</f>
        <v>1.41666666666667</v>
      </c>
      <c r="O26" s="13" t="n">
        <f aca="false">Portfolio!AF27</f>
        <v>70000</v>
      </c>
      <c r="P26" s="8" t="n">
        <f aca="false">Inputs!K25</f>
        <v>0.75</v>
      </c>
      <c r="Q26" s="8" t="n">
        <f aca="false">Inputs!L25</f>
        <v>0.6</v>
      </c>
      <c r="R26" s="11" t="n">
        <f aca="false">L26*P26*Q26</f>
        <v>256.1475</v>
      </c>
      <c r="S26" s="11" t="n">
        <f aca="false">L26-R26</f>
        <v>313.069166666667</v>
      </c>
      <c r="T26" s="12" t="n">
        <f aca="false">S26/M26</f>
        <v>0.779166666666667</v>
      </c>
      <c r="U26" s="14" t="str">
        <f aca="false">IF(T26&lt;Parameters!$B$6,"Below tolerance",IF(T26&lt;=Parameters!$B$7,"Approximately at tolerance","Above tolerance"))</f>
        <v>Below tolerance</v>
      </c>
      <c r="V26" s="12" t="n">
        <f aca="false">IF(O26=0,0,(L26-S26)/O26*1000)</f>
        <v>3.65925</v>
      </c>
      <c r="W26" s="14" t="str">
        <f aca="false">IF(AND(P26&gt;=0,P26&lt;=1,Q26&gt;=0,Q26&lt;=1),"OK","CHECK")</f>
        <v>OK</v>
      </c>
    </row>
    <row r="27" customFormat="false" ht="23.25" hidden="false" customHeight="true" outlineLevel="0" collapsed="false">
      <c r="A27" s="6" t="str">
        <f aca="false">Inputs!A26</f>
        <v>S23</v>
      </c>
      <c r="B27" s="7" t="str">
        <f aca="false">Inputs!B26</f>
        <v>Brute force or credential stuffing against exposed administrative interfaces</v>
      </c>
      <c r="C27" s="8" t="n">
        <f aca="false">Inputs!C26</f>
        <v>0.7</v>
      </c>
      <c r="D27" s="8" t="n">
        <f aca="false">Inputs!D26</f>
        <v>0.35</v>
      </c>
      <c r="E27" s="9" t="n">
        <f aca="false">Inputs!J26</f>
        <v>9.5</v>
      </c>
      <c r="F27" s="8" t="n">
        <f aca="false">Inputs!E26</f>
        <v>0.6</v>
      </c>
      <c r="G27" s="8" t="n">
        <f aca="false">Inputs!F26</f>
        <v>0.9</v>
      </c>
      <c r="H27" s="8" t="n">
        <f aca="false">Inputs!H26</f>
        <v>0.85</v>
      </c>
      <c r="I27" s="8" t="n">
        <f aca="false">Inputs!G26</f>
        <v>0.4</v>
      </c>
      <c r="J27" s="8" t="n">
        <f aca="false">Parameters!$B$4</f>
        <v>0.3</v>
      </c>
      <c r="K27" s="10" t="n">
        <f aca="false">Parameters!$B$5</f>
        <v>1000</v>
      </c>
      <c r="L27" s="11" t="n">
        <f aca="false">C27*D27*E27*((F27+G27)/2)*H27/I27*K27</f>
        <v>3709.453125</v>
      </c>
      <c r="M27" s="11" t="n">
        <f aca="false">C27*D27*E27*J27*H27/I27*K27</f>
        <v>1483.78125</v>
      </c>
      <c r="N27" s="12" t="n">
        <f aca="false">L27/M27</f>
        <v>2.5</v>
      </c>
      <c r="O27" s="13" t="n">
        <f aca="false">Portfolio!AG27</f>
        <v>180622.969187675</v>
      </c>
      <c r="P27" s="8" t="n">
        <f aca="false">Inputs!K26</f>
        <v>0.85</v>
      </c>
      <c r="Q27" s="8" t="n">
        <f aca="false">Inputs!L26</f>
        <v>0.65</v>
      </c>
      <c r="R27" s="11" t="n">
        <f aca="false">L27*P27*Q27</f>
        <v>2049.4728515625</v>
      </c>
      <c r="S27" s="11" t="n">
        <f aca="false">L27-R27</f>
        <v>1659.9802734375</v>
      </c>
      <c r="T27" s="12" t="n">
        <f aca="false">S27/M27</f>
        <v>1.11875</v>
      </c>
      <c r="U27" s="14" t="str">
        <f aca="false">IF(T27&lt;Parameters!$B$6,"Below tolerance",IF(T27&lt;=Parameters!$B$7,"Approximately at tolerance","Above tolerance"))</f>
        <v>Above tolerance</v>
      </c>
      <c r="V27" s="12" t="n">
        <f aca="false">IF(O27=0,0,(L27-S27)/O27*1000)</f>
        <v>11.3466900736916</v>
      </c>
      <c r="W27" s="14" t="str">
        <f aca="false">IF(AND(P27&gt;=0,P27&lt;=1,Q27&gt;=0,Q27&lt;=1),"OK","CHECK")</f>
        <v>OK</v>
      </c>
    </row>
    <row r="28" customFormat="false" ht="23.25" hidden="false" customHeight="true" outlineLevel="0" collapsed="false">
      <c r="A28" s="6" t="str">
        <f aca="false">Inputs!A27</f>
        <v>S24</v>
      </c>
      <c r="B28" s="7" t="str">
        <f aca="false">Inputs!B27</f>
        <v>Malware introduced through patient-supplied imaging media or USB devices</v>
      </c>
      <c r="C28" s="8" t="n">
        <f aca="false">Inputs!C27</f>
        <v>0.35</v>
      </c>
      <c r="D28" s="8" t="n">
        <f aca="false">Inputs!D27</f>
        <v>0.4</v>
      </c>
      <c r="E28" s="9" t="n">
        <f aca="false">Inputs!J27</f>
        <v>7</v>
      </c>
      <c r="F28" s="8" t="n">
        <f aca="false">Inputs!E27</f>
        <v>0.45</v>
      </c>
      <c r="G28" s="8" t="n">
        <f aca="false">Inputs!F27</f>
        <v>0.8</v>
      </c>
      <c r="H28" s="8" t="n">
        <f aca="false">Inputs!H27</f>
        <v>0.8</v>
      </c>
      <c r="I28" s="8" t="n">
        <f aca="false">Inputs!G27</f>
        <v>0.4</v>
      </c>
      <c r="J28" s="8" t="n">
        <f aca="false">Parameters!$B$4</f>
        <v>0.3</v>
      </c>
      <c r="K28" s="10" t="n">
        <f aca="false">Parameters!$B$5</f>
        <v>1000</v>
      </c>
      <c r="L28" s="11" t="n">
        <f aca="false">C28*D28*E28*((F28+G28)/2)*H28/I28*K28</f>
        <v>1225</v>
      </c>
      <c r="M28" s="11" t="n">
        <f aca="false">C28*D28*E28*J28*H28/I28*K28</f>
        <v>588</v>
      </c>
      <c r="N28" s="12" t="n">
        <f aca="false">L28/M28</f>
        <v>2.08333333333333</v>
      </c>
      <c r="O28" s="13" t="n">
        <f aca="false">Portfolio!AH27</f>
        <v>261756.302521008</v>
      </c>
      <c r="P28" s="8" t="n">
        <f aca="false">Inputs!K27</f>
        <v>0.75</v>
      </c>
      <c r="Q28" s="8" t="n">
        <f aca="false">Inputs!L27</f>
        <v>0.65</v>
      </c>
      <c r="R28" s="11" t="n">
        <f aca="false">L28*P28*Q28</f>
        <v>597.1875</v>
      </c>
      <c r="S28" s="11" t="n">
        <f aca="false">L28-R28</f>
        <v>627.8125</v>
      </c>
      <c r="T28" s="12" t="n">
        <f aca="false">S28/M28</f>
        <v>1.06770833333333</v>
      </c>
      <c r="U28" s="14" t="str">
        <f aca="false">IF(T28&lt;Parameters!$B$6,"Below tolerance",IF(T28&lt;=Parameters!$B$7,"Approximately at tolerance","Above tolerance"))</f>
        <v>Approximately at tolerance</v>
      </c>
      <c r="V28" s="12" t="n">
        <f aca="false">IF(O28=0,0,(L28-S28)/O28*1000)</f>
        <v>2.28146369064817</v>
      </c>
      <c r="W28" s="14" t="str">
        <f aca="false">IF(AND(P28&gt;=0,P28&lt;=1,Q28&gt;=0,Q28&lt;=1),"OK","CHECK")</f>
        <v>OK</v>
      </c>
    </row>
    <row r="29" customFormat="false" ht="23.25" hidden="false" customHeight="true" outlineLevel="0" collapsed="false">
      <c r="A29" s="6" t="str">
        <f aca="false">Inputs!A28</f>
        <v>S25</v>
      </c>
      <c r="B29" s="7" t="str">
        <f aca="false">Inputs!B28</f>
        <v>Retired devices or medical equipment released with recoverable patient data</v>
      </c>
      <c r="C29" s="8" t="n">
        <f aca="false">Inputs!C28</f>
        <v>0.4</v>
      </c>
      <c r="D29" s="8" t="n">
        <f aca="false">Inputs!D28</f>
        <v>0.35</v>
      </c>
      <c r="E29" s="9" t="n">
        <f aca="false">Inputs!J28</f>
        <v>5.1</v>
      </c>
      <c r="F29" s="8" t="n">
        <f aca="false">Inputs!E28</f>
        <v>0.35</v>
      </c>
      <c r="G29" s="8" t="n">
        <f aca="false">Inputs!F28</f>
        <v>0.65</v>
      </c>
      <c r="H29" s="8" t="n">
        <f aca="false">Inputs!H28</f>
        <v>0.55</v>
      </c>
      <c r="I29" s="8" t="n">
        <f aca="false">Inputs!G28</f>
        <v>0.45</v>
      </c>
      <c r="J29" s="8" t="n">
        <f aca="false">Parameters!$B$4</f>
        <v>0.3</v>
      </c>
      <c r="K29" s="10" t="n">
        <f aca="false">Parameters!$B$5</f>
        <v>1000</v>
      </c>
      <c r="L29" s="11" t="n">
        <f aca="false">C29*D29*E29*((F29+G29)/2)*H29/I29*K29</f>
        <v>436.333333333333</v>
      </c>
      <c r="M29" s="11" t="n">
        <f aca="false">C29*D29*E29*J29*H29/I29*K29</f>
        <v>261.8</v>
      </c>
      <c r="N29" s="12" t="n">
        <f aca="false">L29/M29</f>
        <v>1.66666666666667</v>
      </c>
      <c r="O29" s="13" t="n">
        <f aca="false">Portfolio!AI27</f>
        <v>96666.6666666667</v>
      </c>
      <c r="P29" s="8" t="n">
        <f aca="false">Inputs!K28</f>
        <v>0.85</v>
      </c>
      <c r="Q29" s="8" t="n">
        <f aca="false">Inputs!L28</f>
        <v>0.6</v>
      </c>
      <c r="R29" s="11" t="n">
        <f aca="false">L29*P29*Q29</f>
        <v>222.53</v>
      </c>
      <c r="S29" s="11" t="n">
        <f aca="false">L29-R29</f>
        <v>213.803333333333</v>
      </c>
      <c r="T29" s="12" t="n">
        <f aca="false">S29/M29</f>
        <v>0.816666666666667</v>
      </c>
      <c r="U29" s="14" t="str">
        <f aca="false">IF(T29&lt;Parameters!$B$6,"Below tolerance",IF(T29&lt;=Parameters!$B$7,"Approximately at tolerance","Above tolerance"))</f>
        <v>Below tolerance</v>
      </c>
      <c r="V29" s="12" t="n">
        <f aca="false">IF(O29=0,0,(L29-S29)/O29*1000)</f>
        <v>2.30203448275862</v>
      </c>
      <c r="W29" s="14" t="str">
        <f aca="false">IF(AND(P29&gt;=0,P29&lt;=1,Q29&gt;=0,Q29&lt;=1),"OK","CHECK")</f>
        <v>OK</v>
      </c>
    </row>
    <row r="30" customFormat="false" ht="15" hidden="false" customHeight="true" outlineLevel="0" collapsed="false">
      <c r="A30" s="6" t="str">
        <f aca="false">Inputs!A29</f>
        <v>S26</v>
      </c>
      <c r="B30" s="7" t="str">
        <f aca="false">Inputs!B29</f>
        <v>Staff paste patient data into unapproved generative-AI tools</v>
      </c>
      <c r="C30" s="8" t="n">
        <f aca="false">Inputs!C29</f>
        <v>0.8</v>
      </c>
      <c r="D30" s="8" t="n">
        <f aca="false">Inputs!D29</f>
        <v>0.55</v>
      </c>
      <c r="E30" s="9" t="n">
        <f aca="false">Inputs!J29</f>
        <v>6</v>
      </c>
      <c r="F30" s="8" t="n">
        <f aca="false">Inputs!E29</f>
        <v>0.35</v>
      </c>
      <c r="G30" s="8" t="n">
        <f aca="false">Inputs!F29</f>
        <v>0.65</v>
      </c>
      <c r="H30" s="8" t="n">
        <f aca="false">Inputs!H29</f>
        <v>0.7</v>
      </c>
      <c r="I30" s="8" t="n">
        <f aca="false">Inputs!G29</f>
        <v>0.4</v>
      </c>
      <c r="J30" s="8" t="n">
        <f aca="false">Parameters!$B$4</f>
        <v>0.3</v>
      </c>
      <c r="K30" s="10" t="n">
        <f aca="false">Parameters!$B$5</f>
        <v>1000</v>
      </c>
      <c r="L30" s="11" t="n">
        <f aca="false">C30*D30*E30*((F30+G30)/2)*H30/I30*K30</f>
        <v>2310</v>
      </c>
      <c r="M30" s="11" t="n">
        <f aca="false">C30*D30*E30*J30*H30/I30*K30</f>
        <v>1386</v>
      </c>
      <c r="N30" s="12" t="n">
        <f aca="false">L30/M30</f>
        <v>1.66666666666667</v>
      </c>
      <c r="O30" s="13" t="n">
        <f aca="false">Portfolio!AJ27</f>
        <v>174000</v>
      </c>
      <c r="P30" s="8" t="n">
        <f aca="false">Inputs!K29</f>
        <v>0.65</v>
      </c>
      <c r="Q30" s="8" t="n">
        <f aca="false">Inputs!L29</f>
        <v>0.55</v>
      </c>
      <c r="R30" s="11" t="n">
        <f aca="false">L30*P30*Q30</f>
        <v>825.825</v>
      </c>
      <c r="S30" s="11" t="n">
        <f aca="false">L30-R30</f>
        <v>1484.175</v>
      </c>
      <c r="T30" s="12" t="n">
        <f aca="false">S30/M30</f>
        <v>1.07083333333333</v>
      </c>
      <c r="U30" s="14" t="str">
        <f aca="false">IF(T30&lt;Parameters!$B$6,"Below tolerance",IF(T30&lt;=Parameters!$B$7,"Approximately at tolerance","Above tolerance"))</f>
        <v>Approximately at tolerance</v>
      </c>
      <c r="V30" s="12" t="n">
        <f aca="false">IF(O30=0,0,(L30-S30)/O30*1000)</f>
        <v>4.74612068965517</v>
      </c>
      <c r="W30" s="14" t="str">
        <f aca="false">IF(AND(P30&gt;=0,P30&lt;=1,Q30&gt;=0,Q30&lt;=1),"OK","CHECK")</f>
        <v>OK</v>
      </c>
    </row>
    <row r="31" customFormat="false" ht="23.25" hidden="false" customHeight="true" outlineLevel="0" collapsed="false">
      <c r="A31" s="6" t="str">
        <f aca="false">Inputs!A30</f>
        <v>S27</v>
      </c>
      <c r="B31" s="7" t="str">
        <f aca="false">Inputs!B30</f>
        <v>Help-desk impersonation leads to MFA reset and account takeover</v>
      </c>
      <c r="C31" s="8" t="n">
        <f aca="false">Inputs!C30</f>
        <v>0.55</v>
      </c>
      <c r="D31" s="8" t="n">
        <f aca="false">Inputs!D30</f>
        <v>0.5</v>
      </c>
      <c r="E31" s="9" t="n">
        <f aca="false">Inputs!J30</f>
        <v>9.3</v>
      </c>
      <c r="F31" s="8" t="n">
        <f aca="false">Inputs!E30</f>
        <v>0.55</v>
      </c>
      <c r="G31" s="8" t="n">
        <f aca="false">Inputs!F30</f>
        <v>0.9</v>
      </c>
      <c r="H31" s="8" t="n">
        <f aca="false">Inputs!H30</f>
        <v>0.85</v>
      </c>
      <c r="I31" s="8" t="n">
        <f aca="false">Inputs!G30</f>
        <v>0.4</v>
      </c>
      <c r="J31" s="8" t="n">
        <f aca="false">Parameters!$B$4</f>
        <v>0.3</v>
      </c>
      <c r="K31" s="10" t="n">
        <f aca="false">Parameters!$B$5</f>
        <v>1000</v>
      </c>
      <c r="L31" s="11" t="n">
        <f aca="false">C31*D31*E31*((F31+G31)/2)*H31/I31*K31</f>
        <v>3940.1484375</v>
      </c>
      <c r="M31" s="11" t="n">
        <f aca="false">C31*D31*E31*J31*H31/I31*K31</f>
        <v>1630.40625</v>
      </c>
      <c r="N31" s="12" t="n">
        <f aca="false">L31/M31</f>
        <v>2.41666666666667</v>
      </c>
      <c r="O31" s="13" t="n">
        <f aca="false">Portfolio!AK27</f>
        <v>85285.7142857143</v>
      </c>
      <c r="P31" s="8" t="n">
        <f aca="false">Inputs!K30</f>
        <v>0.8</v>
      </c>
      <c r="Q31" s="8" t="n">
        <f aca="false">Inputs!L30</f>
        <v>0.6</v>
      </c>
      <c r="R31" s="11" t="n">
        <f aca="false">L31*P31*Q31</f>
        <v>1891.27125</v>
      </c>
      <c r="S31" s="11" t="n">
        <f aca="false">L31-R31</f>
        <v>2048.8771875</v>
      </c>
      <c r="T31" s="12" t="n">
        <f aca="false">S31/M31</f>
        <v>1.25666666666667</v>
      </c>
      <c r="U31" s="14" t="str">
        <f aca="false">IF(T31&lt;Parameters!$B$6,"Below tolerance",IF(T31&lt;=Parameters!$B$7,"Approximately at tolerance","Above tolerance"))</f>
        <v>Above tolerance</v>
      </c>
      <c r="V31" s="12" t="n">
        <f aca="false">IF(O31=0,0,(L31-S31)/O31*1000)</f>
        <v>22.175709798995</v>
      </c>
      <c r="W31" s="14" t="str">
        <f aca="false">IF(AND(P31&gt;=0,P31&lt;=1,Q31&gt;=0,Q31&lt;=1),"OK","CHECK")</f>
        <v>OK</v>
      </c>
    </row>
    <row r="32" customFormat="false" ht="15" hidden="false" customHeight="true" outlineLevel="0" collapsed="false">
      <c r="A32" s="6" t="str">
        <f aca="false">Inputs!A31</f>
        <v>S28</v>
      </c>
      <c r="B32" s="7" t="str">
        <f aca="false">Inputs!B31</f>
        <v>Malicious or departing IT administrator sabotages systems</v>
      </c>
      <c r="C32" s="8" t="n">
        <f aca="false">Inputs!C31</f>
        <v>0.15</v>
      </c>
      <c r="D32" s="8" t="n">
        <f aca="false">Inputs!D31</f>
        <v>0.6</v>
      </c>
      <c r="E32" s="9" t="n">
        <f aca="false">Inputs!J31</f>
        <v>9.4</v>
      </c>
      <c r="F32" s="8" t="n">
        <f aca="false">Inputs!E31</f>
        <v>0.6</v>
      </c>
      <c r="G32" s="8" t="n">
        <f aca="false">Inputs!F31</f>
        <v>0.95</v>
      </c>
      <c r="H32" s="8" t="n">
        <f aca="false">Inputs!H31</f>
        <v>0.9</v>
      </c>
      <c r="I32" s="8" t="n">
        <f aca="false">Inputs!G31</f>
        <v>0.35</v>
      </c>
      <c r="J32" s="8" t="n">
        <f aca="false">Parameters!$B$4</f>
        <v>0.3</v>
      </c>
      <c r="K32" s="10" t="n">
        <f aca="false">Parameters!$B$5</f>
        <v>1000</v>
      </c>
      <c r="L32" s="11" t="n">
        <f aca="false">C32*D32*E32*((F32+G32)/2)*H32/I32*K32</f>
        <v>1685.95714285714</v>
      </c>
      <c r="M32" s="11" t="n">
        <f aca="false">C32*D32*E32*J32*H32/I32*K32</f>
        <v>652.628571428572</v>
      </c>
      <c r="N32" s="12" t="n">
        <f aca="false">L32/M32</f>
        <v>2.58333333333333</v>
      </c>
      <c r="O32" s="13" t="n">
        <f aca="false">Portfolio!AL27</f>
        <v>192859.477124183</v>
      </c>
      <c r="P32" s="8" t="n">
        <f aca="false">Inputs!K31</f>
        <v>0.55</v>
      </c>
      <c r="Q32" s="8" t="n">
        <f aca="false">Inputs!L31</f>
        <v>0.6</v>
      </c>
      <c r="R32" s="11" t="n">
        <f aca="false">L32*P32*Q32</f>
        <v>556.365857142857</v>
      </c>
      <c r="S32" s="11" t="n">
        <f aca="false">L32-R32</f>
        <v>1129.59128571429</v>
      </c>
      <c r="T32" s="12" t="n">
        <f aca="false">S32/M32</f>
        <v>1.73083333333333</v>
      </c>
      <c r="U32" s="14" t="str">
        <f aca="false">IF(T32&lt;Parameters!$B$6,"Below tolerance",IF(T32&lt;=Parameters!$B$7,"Approximately at tolerance","Above tolerance"))</f>
        <v>Above tolerance</v>
      </c>
      <c r="V32" s="12" t="n">
        <f aca="false">IF(O32=0,0,(L32-S32)/O32*1000)</f>
        <v>2.88482508321129</v>
      </c>
      <c r="W32" s="14" t="str">
        <f aca="false">IF(AND(P32&gt;=0,P32&lt;=1,Q32&gt;=0,Q32&lt;=1),"OK","CHECK")</f>
        <v>OK</v>
      </c>
    </row>
    <row r="33" customFormat="false" ht="23.25" hidden="false" customHeight="true" outlineLevel="0" collapsed="false">
      <c r="A33" s="6" t="str">
        <f aca="false">Inputs!A32</f>
        <v>S29</v>
      </c>
      <c r="B33" s="7" t="str">
        <f aca="false">Inputs!B32</f>
        <v>Interception or tampering of unencrypted clinical interface traffic (HL7/DICOM)</v>
      </c>
      <c r="C33" s="8" t="n">
        <f aca="false">Inputs!C32</f>
        <v>0.25</v>
      </c>
      <c r="D33" s="8" t="n">
        <f aca="false">Inputs!D32</f>
        <v>0.4</v>
      </c>
      <c r="E33" s="9" t="n">
        <f aca="false">Inputs!J32</f>
        <v>8.6</v>
      </c>
      <c r="F33" s="8" t="n">
        <f aca="false">Inputs!E32</f>
        <v>0.45</v>
      </c>
      <c r="G33" s="8" t="n">
        <f aca="false">Inputs!F32</f>
        <v>0.85</v>
      </c>
      <c r="H33" s="8" t="n">
        <f aca="false">Inputs!H32</f>
        <v>0.85</v>
      </c>
      <c r="I33" s="8" t="n">
        <f aca="false">Inputs!G32</f>
        <v>0.4</v>
      </c>
      <c r="J33" s="8" t="n">
        <f aca="false">Parameters!$B$4</f>
        <v>0.3</v>
      </c>
      <c r="K33" s="10" t="n">
        <f aca="false">Parameters!$B$5</f>
        <v>1000</v>
      </c>
      <c r="L33" s="11" t="n">
        <f aca="false">C33*D33*E33*((F33+G33)/2)*H33/I33*K33</f>
        <v>1187.875</v>
      </c>
      <c r="M33" s="11" t="n">
        <f aca="false">C33*D33*E33*J33*H33/I33*K33</f>
        <v>548.25</v>
      </c>
      <c r="N33" s="12" t="n">
        <f aca="false">L33/M33</f>
        <v>2.16666666666667</v>
      </c>
      <c r="O33" s="13" t="n">
        <f aca="false">Portfolio!AM27</f>
        <v>214285.714285714</v>
      </c>
      <c r="P33" s="8" t="n">
        <f aca="false">Inputs!K32</f>
        <v>0.75</v>
      </c>
      <c r="Q33" s="8" t="n">
        <f aca="false">Inputs!L32</f>
        <v>0.7</v>
      </c>
      <c r="R33" s="11" t="n">
        <f aca="false">L33*P33*Q33</f>
        <v>623.634375</v>
      </c>
      <c r="S33" s="11" t="n">
        <f aca="false">L33-R33</f>
        <v>564.240625</v>
      </c>
      <c r="T33" s="12" t="n">
        <f aca="false">S33/M33</f>
        <v>1.02916666666667</v>
      </c>
      <c r="U33" s="14" t="str">
        <f aca="false">IF(T33&lt;Parameters!$B$6,"Below tolerance",IF(T33&lt;=Parameters!$B$7,"Approximately at tolerance","Above tolerance"))</f>
        <v>Approximately at tolerance</v>
      </c>
      <c r="V33" s="12" t="n">
        <f aca="false">IF(O33=0,0,(L33-S33)/O33*1000)</f>
        <v>2.91029375</v>
      </c>
      <c r="W33" s="14" t="str">
        <f aca="false">IF(AND(P33&gt;=0,P33&lt;=1,Q33&gt;=0,Q33&lt;=1),"OK","CHECK")</f>
        <v>OK</v>
      </c>
    </row>
    <row r="34" customFormat="false" ht="15" hidden="false" customHeight="true" outlineLevel="0" collapsed="false">
      <c r="A34" s="6" t="str">
        <f aca="false">Inputs!A33</f>
        <v>S30</v>
      </c>
      <c r="B34" s="7" t="str">
        <f aca="false">Inputs!B33</f>
        <v>Criminals impersonate MediBec to defraud or phish patients</v>
      </c>
      <c r="C34" s="8" t="n">
        <f aca="false">Inputs!C33</f>
        <v>0.7</v>
      </c>
      <c r="D34" s="8" t="n">
        <f aca="false">Inputs!D33</f>
        <v>0.5</v>
      </c>
      <c r="E34" s="9" t="n">
        <f aca="false">Inputs!J33</f>
        <v>5.1</v>
      </c>
      <c r="F34" s="8" t="n">
        <f aca="false">Inputs!E33</f>
        <v>0.3</v>
      </c>
      <c r="G34" s="8" t="n">
        <f aca="false">Inputs!F33</f>
        <v>0.55</v>
      </c>
      <c r="H34" s="8" t="n">
        <f aca="false">Inputs!H33</f>
        <v>0.55</v>
      </c>
      <c r="I34" s="8" t="n">
        <f aca="false">Inputs!G33</f>
        <v>0.45</v>
      </c>
      <c r="J34" s="8" t="n">
        <f aca="false">Parameters!$B$4</f>
        <v>0.3</v>
      </c>
      <c r="K34" s="10" t="n">
        <f aca="false">Parameters!$B$5</f>
        <v>1000</v>
      </c>
      <c r="L34" s="11" t="n">
        <f aca="false">C34*D34*E34*((F34+G34)/2)*H34/I34*K34</f>
        <v>927.208333333333</v>
      </c>
      <c r="M34" s="11" t="n">
        <f aca="false">C34*D34*E34*J34*H34/I34*K34</f>
        <v>654.5</v>
      </c>
      <c r="N34" s="12" t="n">
        <f aca="false">L34/M34</f>
        <v>1.41666666666667</v>
      </c>
      <c r="O34" s="13" t="n">
        <f aca="false">Portfolio!AN27</f>
        <v>93500</v>
      </c>
      <c r="P34" s="8" t="n">
        <f aca="false">Inputs!K33</f>
        <v>0.55</v>
      </c>
      <c r="Q34" s="8" t="n">
        <f aca="false">Inputs!L33</f>
        <v>0.6</v>
      </c>
      <c r="R34" s="11" t="n">
        <f aca="false">L34*P34*Q34</f>
        <v>305.97875</v>
      </c>
      <c r="S34" s="11" t="n">
        <f aca="false">L34-R34</f>
        <v>621.229583333333</v>
      </c>
      <c r="T34" s="12" t="n">
        <f aca="false">S34/M34</f>
        <v>0.949166666666667</v>
      </c>
      <c r="U34" s="14" t="str">
        <f aca="false">IF(T34&lt;Parameters!$B$6,"Below tolerance",IF(T34&lt;=Parameters!$B$7,"Approximately at tolerance","Above tolerance"))</f>
        <v>Approximately at tolerance</v>
      </c>
      <c r="V34" s="12" t="n">
        <f aca="false">IF(O34=0,0,(L34-S34)/O34*1000)</f>
        <v>3.2725</v>
      </c>
      <c r="W34" s="14" t="str">
        <f aca="false">IF(AND(P34&gt;=0,P34&lt;=1,Q34&gt;=0,Q34&lt;=1),"OK","CHECK")</f>
        <v>OK</v>
      </c>
    </row>
    <row r="35" customFormat="false" ht="15" hidden="false" customHeight="true" outlineLevel="0" collapsed="false">
      <c r="B35" s="15" t="s">
        <v>50</v>
      </c>
      <c r="L35" s="16" t="n">
        <f aca="false">SUM(L5:L34)</f>
        <v>84305.4712053571</v>
      </c>
      <c r="M35" s="16" t="n">
        <f aca="false">SUM(M5:M34)</f>
        <v>37123.2571428571</v>
      </c>
      <c r="O35" s="17" t="n">
        <f aca="false">SUM(O5:O34)</f>
        <v>5311000</v>
      </c>
      <c r="R35" s="16" t="n">
        <f aca="false">SUM(R5:R34)</f>
        <v>43282.7033113839</v>
      </c>
      <c r="S35" s="16" t="n">
        <f aca="false">SUM(S5:S34)</f>
        <v>41022.7678939732</v>
      </c>
      <c r="T35" s="18" t="n">
        <f aca="false">S35/M35</f>
        <v>1.10504225790614</v>
      </c>
      <c r="V35" s="18" t="n">
        <f aca="false">(L35-S35)/O35*1000</f>
        <v>8.14963346100243</v>
      </c>
    </row>
    <row r="37" customFormat="false" ht="15" hidden="false" customHeight="true" outlineLevel="0" collapsed="false">
      <c r="B37" s="3" t="s">
        <v>51</v>
      </c>
    </row>
  </sheetData>
  <conditionalFormatting sqref="T5:T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2"/>
    <col collapsed="false" customWidth="true" hidden="false" outlineLevel="0" max="3" min="3" style="1" width="90"/>
  </cols>
  <sheetData>
    <row r="1" customFormat="false" ht="17.25" hidden="false" customHeight="true" outlineLevel="0" collapsed="false">
      <c r="A1" s="2" t="s">
        <v>52</v>
      </c>
    </row>
    <row r="3" customFormat="false" ht="15" hidden="false" customHeight="true" outlineLevel="0" collapsed="false">
      <c r="A3" s="5" t="s">
        <v>53</v>
      </c>
      <c r="B3" s="5" t="s">
        <v>54</v>
      </c>
      <c r="C3" s="5" t="s">
        <v>55</v>
      </c>
    </row>
    <row r="4" customFormat="false" ht="15" hidden="false" customHeight="true" outlineLevel="0" collapsed="false">
      <c r="A4" s="14" t="s">
        <v>56</v>
      </c>
      <c r="B4" s="19" t="n">
        <v>0.3</v>
      </c>
      <c r="C4" s="14" t="s">
        <v>57</v>
      </c>
    </row>
    <row r="5" customFormat="false" ht="15" hidden="false" customHeight="true" outlineLevel="0" collapsed="false">
      <c r="A5" s="14" t="s">
        <v>58</v>
      </c>
      <c r="B5" s="20" t="n">
        <v>1000</v>
      </c>
      <c r="C5" s="14" t="s">
        <v>59</v>
      </c>
    </row>
    <row r="6" customFormat="false" ht="15" hidden="false" customHeight="true" outlineLevel="0" collapsed="false">
      <c r="A6" s="14" t="s">
        <v>60</v>
      </c>
      <c r="B6" s="20" t="n">
        <v>0.9</v>
      </c>
      <c r="C6" s="14" t="s">
        <v>61</v>
      </c>
    </row>
    <row r="7" customFormat="false" ht="15" hidden="false" customHeight="true" outlineLevel="0" collapsed="false">
      <c r="A7" s="14" t="s">
        <v>62</v>
      </c>
      <c r="B7" s="20" t="n">
        <v>1.1</v>
      </c>
      <c r="C7" s="14" t="s">
        <v>63</v>
      </c>
    </row>
    <row r="8" customFormat="false" ht="15" hidden="false" customHeight="true" outlineLevel="0" collapsed="false">
      <c r="A8" s="14" t="s">
        <v>64</v>
      </c>
      <c r="B8" s="20" t="n">
        <v>0.4</v>
      </c>
      <c r="C8" s="14" t="s">
        <v>65</v>
      </c>
    </row>
    <row r="9" customFormat="false" ht="15" hidden="false" customHeight="true" outlineLevel="0" collapsed="false">
      <c r="A9" s="14" t="s">
        <v>66</v>
      </c>
      <c r="B9" s="20" t="n">
        <v>0.1</v>
      </c>
      <c r="C9" s="14" t="s">
        <v>67</v>
      </c>
    </row>
    <row r="10" customFormat="false" ht="15" hidden="false" customHeight="true" outlineLevel="0" collapsed="false">
      <c r="A10" s="14" t="s">
        <v>68</v>
      </c>
      <c r="B10" s="20" t="n">
        <v>0.25</v>
      </c>
      <c r="C10" s="14" t="s">
        <v>65</v>
      </c>
    </row>
    <row r="11" customFormat="false" ht="15" hidden="false" customHeight="true" outlineLevel="0" collapsed="false">
      <c r="A11" s="14" t="s">
        <v>69</v>
      </c>
      <c r="B11" s="20" t="n">
        <v>0.4</v>
      </c>
      <c r="C11" s="1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9"/>
    <col collapsed="false" customWidth="true" hidden="false" outlineLevel="0" max="8" min="5" style="1" width="7"/>
    <col collapsed="false" customWidth="true" hidden="false" outlineLevel="0" max="9" min="9" style="1" width="62"/>
    <col collapsed="false" customWidth="true" hidden="false" outlineLevel="0" max="10" min="10" style="1" width="8"/>
    <col collapsed="false" customWidth="true" hidden="false" outlineLevel="0" max="12" min="11" style="1" width="10"/>
    <col collapsed="false" customWidth="true" hidden="false" outlineLevel="0" max="13" min="13" style="1" width="8"/>
    <col collapsed="false" customWidth="true" hidden="false" outlineLevel="0" max="14" min="14" style="1" width="9"/>
    <col collapsed="false" customWidth="true" hidden="false" outlineLevel="0" max="18" min="15" style="1" width="8"/>
  </cols>
  <sheetData>
    <row r="1" customFormat="false" ht="17.25" hidden="false" customHeight="true" outlineLevel="0" collapsed="false">
      <c r="A1" s="2" t="s">
        <v>70</v>
      </c>
    </row>
    <row r="3" customFormat="false" ht="23.25" hidden="false" customHeight="true" outlineLevel="0" collapsed="false">
      <c r="A3" s="5" t="s">
        <v>27</v>
      </c>
      <c r="B3" s="5" t="s">
        <v>28</v>
      </c>
      <c r="C3" s="5" t="s">
        <v>29</v>
      </c>
      <c r="D3" s="5" t="s">
        <v>30</v>
      </c>
      <c r="E3" s="5" t="s">
        <v>32</v>
      </c>
      <c r="F3" s="5" t="s">
        <v>33</v>
      </c>
      <c r="G3" s="5" t="s">
        <v>35</v>
      </c>
      <c r="H3" s="5" t="s">
        <v>34</v>
      </c>
      <c r="I3" s="5" t="s">
        <v>71</v>
      </c>
      <c r="J3" s="5" t="s">
        <v>31</v>
      </c>
      <c r="K3" s="5" t="s">
        <v>42</v>
      </c>
      <c r="L3" s="5" t="s">
        <v>43</v>
      </c>
      <c r="M3" s="5" t="s">
        <v>72</v>
      </c>
      <c r="N3" s="5" t="s">
        <v>73</v>
      </c>
      <c r="O3" s="5" t="s">
        <v>74</v>
      </c>
      <c r="P3" s="5" t="s">
        <v>75</v>
      </c>
      <c r="Q3" s="5" t="s">
        <v>76</v>
      </c>
      <c r="R3" s="5" t="s">
        <v>77</v>
      </c>
    </row>
    <row r="4" customFormat="false" ht="23.25" hidden="false" customHeight="true" outlineLevel="0" collapsed="false">
      <c r="A4" s="14" t="s">
        <v>78</v>
      </c>
      <c r="B4" s="21" t="s">
        <v>79</v>
      </c>
      <c r="C4" s="22" t="n">
        <v>0.85</v>
      </c>
      <c r="D4" s="22" t="n">
        <v>0.55</v>
      </c>
      <c r="E4" s="22" t="n">
        <v>0.55</v>
      </c>
      <c r="F4" s="22" t="n">
        <v>0.85</v>
      </c>
      <c r="G4" s="22" t="n">
        <v>0.4</v>
      </c>
      <c r="H4" s="22" t="n">
        <v>0.85</v>
      </c>
      <c r="I4" s="20" t="s">
        <v>80</v>
      </c>
      <c r="J4" s="23" t="n">
        <v>9.3</v>
      </c>
      <c r="K4" s="22" t="n">
        <v>0.8</v>
      </c>
      <c r="L4" s="22" t="n">
        <v>0.75</v>
      </c>
      <c r="M4" s="20" t="s">
        <v>81</v>
      </c>
      <c r="N4" s="20" t="s">
        <v>82</v>
      </c>
      <c r="O4" s="20" t="s">
        <v>81</v>
      </c>
      <c r="P4" s="20" t="s">
        <v>81</v>
      </c>
      <c r="Q4" s="20" t="s">
        <v>81</v>
      </c>
      <c r="R4" s="20" t="s">
        <v>83</v>
      </c>
    </row>
    <row r="5" customFormat="false" ht="23.25" hidden="false" customHeight="true" outlineLevel="0" collapsed="false">
      <c r="A5" s="14" t="s">
        <v>84</v>
      </c>
      <c r="B5" s="21" t="s">
        <v>85</v>
      </c>
      <c r="C5" s="22" t="n">
        <v>0.75</v>
      </c>
      <c r="D5" s="22" t="n">
        <v>0.5</v>
      </c>
      <c r="E5" s="22" t="n">
        <v>0.7</v>
      </c>
      <c r="F5" s="22" t="n">
        <v>0.95</v>
      </c>
      <c r="G5" s="22" t="n">
        <v>0.35</v>
      </c>
      <c r="H5" s="22" t="n">
        <v>0.95</v>
      </c>
      <c r="I5" s="20" t="s">
        <v>86</v>
      </c>
      <c r="J5" s="23" t="n">
        <v>9.3</v>
      </c>
      <c r="K5" s="22" t="n">
        <v>0.75</v>
      </c>
      <c r="L5" s="22" t="n">
        <v>0.75</v>
      </c>
      <c r="M5" s="20" t="s">
        <v>81</v>
      </c>
      <c r="N5" s="20" t="s">
        <v>82</v>
      </c>
      <c r="O5" s="20" t="s">
        <v>81</v>
      </c>
      <c r="P5" s="20" t="s">
        <v>81</v>
      </c>
      <c r="Q5" s="20" t="s">
        <v>81</v>
      </c>
      <c r="R5" s="20" t="s">
        <v>83</v>
      </c>
    </row>
    <row r="6" customFormat="false" ht="23.25" hidden="false" customHeight="true" outlineLevel="0" collapsed="false">
      <c r="A6" s="14" t="s">
        <v>87</v>
      </c>
      <c r="B6" s="21" t="s">
        <v>88</v>
      </c>
      <c r="C6" s="22" t="n">
        <v>0.55</v>
      </c>
      <c r="D6" s="22" t="n">
        <v>0.5</v>
      </c>
      <c r="E6" s="22" t="n">
        <v>0.6</v>
      </c>
      <c r="F6" s="22" t="n">
        <v>0.9</v>
      </c>
      <c r="G6" s="22" t="n">
        <v>0.35</v>
      </c>
      <c r="H6" s="22" t="n">
        <v>0.9</v>
      </c>
      <c r="I6" s="20" t="s">
        <v>89</v>
      </c>
      <c r="J6" s="23" t="n">
        <v>9.2</v>
      </c>
      <c r="K6" s="22" t="n">
        <v>0.8</v>
      </c>
      <c r="L6" s="22" t="n">
        <v>0.85</v>
      </c>
      <c r="M6" s="20" t="s">
        <v>81</v>
      </c>
      <c r="N6" s="20" t="s">
        <v>82</v>
      </c>
      <c r="O6" s="20" t="s">
        <v>81</v>
      </c>
      <c r="P6" s="20" t="s">
        <v>81</v>
      </c>
      <c r="Q6" s="20" t="s">
        <v>81</v>
      </c>
      <c r="R6" s="20" t="s">
        <v>83</v>
      </c>
    </row>
    <row r="7" customFormat="false" ht="23.25" hidden="false" customHeight="true" outlineLevel="0" collapsed="false">
      <c r="A7" s="14" t="s">
        <v>90</v>
      </c>
      <c r="B7" s="21" t="s">
        <v>91</v>
      </c>
      <c r="C7" s="22" t="n">
        <v>0.6</v>
      </c>
      <c r="D7" s="22" t="n">
        <v>0.45</v>
      </c>
      <c r="E7" s="22" t="n">
        <v>0.55</v>
      </c>
      <c r="F7" s="22" t="n">
        <v>0.8</v>
      </c>
      <c r="G7" s="22" t="n">
        <v>0.4</v>
      </c>
      <c r="H7" s="22" t="n">
        <v>0.75</v>
      </c>
      <c r="I7" s="20" t="s">
        <v>92</v>
      </c>
      <c r="J7" s="23" t="n">
        <v>8.7</v>
      </c>
      <c r="K7" s="22" t="n">
        <v>0.85</v>
      </c>
      <c r="L7" s="22" t="n">
        <v>0.7</v>
      </c>
      <c r="M7" s="20" t="s">
        <v>81</v>
      </c>
      <c r="N7" s="20" t="s">
        <v>82</v>
      </c>
      <c r="O7" s="20" t="s">
        <v>81</v>
      </c>
      <c r="P7" s="20" t="s">
        <v>81</v>
      </c>
      <c r="Q7" s="20" t="s">
        <v>82</v>
      </c>
      <c r="R7" s="20" t="s">
        <v>81</v>
      </c>
    </row>
    <row r="8" customFormat="false" ht="23.25" hidden="false" customHeight="true" outlineLevel="0" collapsed="false">
      <c r="A8" s="14" t="s">
        <v>93</v>
      </c>
      <c r="B8" s="21" t="s">
        <v>94</v>
      </c>
      <c r="C8" s="22" t="n">
        <v>0.6</v>
      </c>
      <c r="D8" s="22" t="n">
        <v>0.55</v>
      </c>
      <c r="E8" s="22" t="n">
        <v>0.45</v>
      </c>
      <c r="F8" s="22" t="n">
        <v>0.75</v>
      </c>
      <c r="G8" s="22" t="n">
        <v>0.4</v>
      </c>
      <c r="H8" s="22" t="n">
        <v>0.8</v>
      </c>
      <c r="I8" s="20" t="s">
        <v>95</v>
      </c>
      <c r="J8" s="23" t="n">
        <v>7.1</v>
      </c>
      <c r="K8" s="22" t="n">
        <v>0.6</v>
      </c>
      <c r="L8" s="22" t="n">
        <v>0.65</v>
      </c>
      <c r="M8" s="20" t="s">
        <v>81</v>
      </c>
      <c r="N8" s="20" t="s">
        <v>81</v>
      </c>
      <c r="O8" s="20" t="s">
        <v>81</v>
      </c>
      <c r="P8" s="20" t="s">
        <v>81</v>
      </c>
      <c r="Q8" s="20" t="s">
        <v>81</v>
      </c>
      <c r="R8" s="20" t="s">
        <v>83</v>
      </c>
    </row>
    <row r="9" customFormat="false" ht="15" hidden="false" customHeight="true" outlineLevel="0" collapsed="false">
      <c r="A9" s="14" t="s">
        <v>96</v>
      </c>
      <c r="B9" s="21" t="s">
        <v>97</v>
      </c>
      <c r="C9" s="22" t="n">
        <v>0.8</v>
      </c>
      <c r="D9" s="22" t="n">
        <v>0.5</v>
      </c>
      <c r="E9" s="22" t="n">
        <v>0.6</v>
      </c>
      <c r="F9" s="22" t="n">
        <v>0.9</v>
      </c>
      <c r="G9" s="22" t="n">
        <v>0.4</v>
      </c>
      <c r="H9" s="22" t="n">
        <v>0.85</v>
      </c>
      <c r="I9" s="20" t="s">
        <v>98</v>
      </c>
      <c r="J9" s="23" t="n">
        <v>10</v>
      </c>
      <c r="K9" s="22" t="n">
        <v>0.85</v>
      </c>
      <c r="L9" s="22" t="n">
        <v>0.7</v>
      </c>
      <c r="M9" s="20" t="s">
        <v>81</v>
      </c>
      <c r="N9" s="20" t="s">
        <v>82</v>
      </c>
      <c r="O9" s="20" t="s">
        <v>81</v>
      </c>
      <c r="P9" s="20" t="s">
        <v>81</v>
      </c>
      <c r="Q9" s="20" t="s">
        <v>81</v>
      </c>
      <c r="R9" s="20" t="s">
        <v>83</v>
      </c>
    </row>
    <row r="10" customFormat="false" ht="23.25" hidden="false" customHeight="true" outlineLevel="0" collapsed="false">
      <c r="A10" s="14" t="s">
        <v>99</v>
      </c>
      <c r="B10" s="21" t="s">
        <v>100</v>
      </c>
      <c r="C10" s="22" t="n">
        <v>0.45</v>
      </c>
      <c r="D10" s="22" t="n">
        <v>0.5</v>
      </c>
      <c r="E10" s="22" t="n">
        <v>0.55</v>
      </c>
      <c r="F10" s="22" t="n">
        <v>0.95</v>
      </c>
      <c r="G10" s="22" t="n">
        <v>0.35</v>
      </c>
      <c r="H10" s="22" t="n">
        <v>0.9</v>
      </c>
      <c r="I10" s="20" t="s">
        <v>101</v>
      </c>
      <c r="J10" s="23" t="n">
        <v>8.7</v>
      </c>
      <c r="K10" s="22" t="n">
        <v>0.7</v>
      </c>
      <c r="L10" s="22" t="n">
        <v>0.6</v>
      </c>
      <c r="M10" s="20" t="s">
        <v>82</v>
      </c>
      <c r="N10" s="20" t="s">
        <v>82</v>
      </c>
      <c r="O10" s="20" t="s">
        <v>81</v>
      </c>
      <c r="P10" s="20" t="s">
        <v>81</v>
      </c>
      <c r="Q10" s="20" t="s">
        <v>81</v>
      </c>
      <c r="R10" s="20" t="s">
        <v>83</v>
      </c>
    </row>
    <row r="11" customFormat="false" ht="15" hidden="false" customHeight="true" outlineLevel="0" collapsed="false">
      <c r="A11" s="14" t="s">
        <v>102</v>
      </c>
      <c r="B11" s="21" t="s">
        <v>103</v>
      </c>
      <c r="C11" s="22" t="n">
        <v>0.8</v>
      </c>
      <c r="D11" s="22" t="n">
        <v>0.6</v>
      </c>
      <c r="E11" s="22" t="n">
        <v>0.6</v>
      </c>
      <c r="F11" s="22" t="n">
        <v>0.9</v>
      </c>
      <c r="G11" s="22" t="n">
        <v>0.3</v>
      </c>
      <c r="H11" s="22" t="n">
        <v>0.85</v>
      </c>
      <c r="I11" s="20" t="s">
        <v>104</v>
      </c>
      <c r="J11" s="23" t="n">
        <v>9.2</v>
      </c>
      <c r="K11" s="22" t="n">
        <v>0.7</v>
      </c>
      <c r="L11" s="22" t="n">
        <v>0.8</v>
      </c>
      <c r="M11" s="20" t="s">
        <v>81</v>
      </c>
      <c r="N11" s="20" t="s">
        <v>81</v>
      </c>
      <c r="O11" s="20" t="s">
        <v>81</v>
      </c>
      <c r="P11" s="20" t="s">
        <v>81</v>
      </c>
      <c r="Q11" s="20" t="s">
        <v>81</v>
      </c>
      <c r="R11" s="20" t="s">
        <v>83</v>
      </c>
    </row>
    <row r="12" customFormat="false" ht="15" hidden="false" customHeight="true" outlineLevel="0" collapsed="false">
      <c r="A12" s="14" t="s">
        <v>105</v>
      </c>
      <c r="B12" s="21" t="s">
        <v>106</v>
      </c>
      <c r="C12" s="22" t="n">
        <v>0.55</v>
      </c>
      <c r="D12" s="22" t="n">
        <v>0.45</v>
      </c>
      <c r="E12" s="22" t="n">
        <v>0.6</v>
      </c>
      <c r="F12" s="22" t="n">
        <v>0.9</v>
      </c>
      <c r="G12" s="22" t="n">
        <v>0.35</v>
      </c>
      <c r="H12" s="22" t="n">
        <v>0.85</v>
      </c>
      <c r="I12" s="20" t="s">
        <v>107</v>
      </c>
      <c r="J12" s="23" t="n">
        <v>9</v>
      </c>
      <c r="K12" s="22" t="n">
        <v>0.55</v>
      </c>
      <c r="L12" s="22" t="n">
        <v>0.7</v>
      </c>
      <c r="M12" s="20" t="s">
        <v>82</v>
      </c>
      <c r="N12" s="20" t="s">
        <v>82</v>
      </c>
      <c r="O12" s="20" t="s">
        <v>81</v>
      </c>
      <c r="P12" s="20" t="s">
        <v>81</v>
      </c>
      <c r="Q12" s="20" t="s">
        <v>82</v>
      </c>
      <c r="R12" s="20" t="s">
        <v>83</v>
      </c>
    </row>
    <row r="13" customFormat="false" ht="23.25" hidden="false" customHeight="true" outlineLevel="0" collapsed="false">
      <c r="A13" s="14" t="s">
        <v>108</v>
      </c>
      <c r="B13" s="21" t="s">
        <v>109</v>
      </c>
      <c r="C13" s="22" t="n">
        <v>0.3</v>
      </c>
      <c r="D13" s="22" t="n">
        <v>0.4</v>
      </c>
      <c r="E13" s="22" t="n">
        <v>0.55</v>
      </c>
      <c r="F13" s="22" t="n">
        <v>0.95</v>
      </c>
      <c r="G13" s="22" t="n">
        <v>0.4</v>
      </c>
      <c r="H13" s="22" t="n">
        <v>0.95</v>
      </c>
      <c r="I13" s="20" t="s">
        <v>110</v>
      </c>
      <c r="J13" s="23" t="n">
        <v>8.3</v>
      </c>
      <c r="K13" s="22" t="n">
        <v>0.7</v>
      </c>
      <c r="L13" s="22" t="n">
        <v>0.75</v>
      </c>
      <c r="M13" s="20" t="s">
        <v>82</v>
      </c>
      <c r="N13" s="20" t="s">
        <v>82</v>
      </c>
      <c r="O13" s="20" t="s">
        <v>81</v>
      </c>
      <c r="P13" s="20" t="s">
        <v>81</v>
      </c>
      <c r="Q13" s="20" t="s">
        <v>82</v>
      </c>
      <c r="R13" s="20" t="s">
        <v>83</v>
      </c>
    </row>
    <row r="14" customFormat="false" ht="23.25" hidden="false" customHeight="true" outlineLevel="0" collapsed="false">
      <c r="A14" s="14" t="s">
        <v>111</v>
      </c>
      <c r="B14" s="21" t="s">
        <v>112</v>
      </c>
      <c r="C14" s="22" t="n">
        <v>0.45</v>
      </c>
      <c r="D14" s="22" t="n">
        <v>0.45</v>
      </c>
      <c r="E14" s="22" t="n">
        <v>0.5</v>
      </c>
      <c r="F14" s="22" t="n">
        <v>0.8</v>
      </c>
      <c r="G14" s="22" t="n">
        <v>0.4</v>
      </c>
      <c r="H14" s="22" t="n">
        <v>0.75</v>
      </c>
      <c r="I14" s="20" t="s">
        <v>113</v>
      </c>
      <c r="J14" s="23" t="n">
        <v>8.3</v>
      </c>
      <c r="K14" s="22" t="n">
        <v>0.85</v>
      </c>
      <c r="L14" s="22" t="n">
        <v>0.6</v>
      </c>
      <c r="M14" s="20" t="s">
        <v>82</v>
      </c>
      <c r="N14" s="20" t="s">
        <v>82</v>
      </c>
      <c r="O14" s="20" t="s">
        <v>81</v>
      </c>
      <c r="P14" s="20" t="s">
        <v>81</v>
      </c>
      <c r="Q14" s="20" t="s">
        <v>82</v>
      </c>
      <c r="R14" s="20" t="s">
        <v>81</v>
      </c>
    </row>
    <row r="15" customFormat="false" ht="23.25" hidden="false" customHeight="true" outlineLevel="0" collapsed="false">
      <c r="A15" s="14" t="s">
        <v>114</v>
      </c>
      <c r="B15" s="21" t="s">
        <v>115</v>
      </c>
      <c r="C15" s="22" t="n">
        <v>0.4</v>
      </c>
      <c r="D15" s="22" t="n">
        <v>0.45</v>
      </c>
      <c r="E15" s="22" t="n">
        <v>0.4</v>
      </c>
      <c r="F15" s="22" t="n">
        <v>0.75</v>
      </c>
      <c r="G15" s="22" t="n">
        <v>0.4</v>
      </c>
      <c r="H15" s="22" t="n">
        <v>0.7</v>
      </c>
      <c r="I15" s="20" t="s">
        <v>116</v>
      </c>
      <c r="J15" s="23" t="n">
        <v>6.4</v>
      </c>
      <c r="K15" s="22" t="n">
        <v>0.8</v>
      </c>
      <c r="L15" s="22" t="n">
        <v>0.65</v>
      </c>
      <c r="M15" s="20" t="s">
        <v>82</v>
      </c>
      <c r="N15" s="20" t="s">
        <v>82</v>
      </c>
      <c r="O15" s="20" t="s">
        <v>81</v>
      </c>
      <c r="P15" s="20" t="s">
        <v>81</v>
      </c>
      <c r="Q15" s="20" t="s">
        <v>82</v>
      </c>
      <c r="R15" s="20" t="s">
        <v>81</v>
      </c>
    </row>
    <row r="16" customFormat="false" ht="15" hidden="false" customHeight="true" outlineLevel="0" collapsed="false">
      <c r="A16" s="14" t="s">
        <v>117</v>
      </c>
      <c r="B16" s="21" t="s">
        <v>118</v>
      </c>
      <c r="C16" s="22" t="n">
        <v>0.5</v>
      </c>
      <c r="D16" s="22" t="n">
        <v>0.6</v>
      </c>
      <c r="E16" s="22" t="n">
        <v>0.3</v>
      </c>
      <c r="F16" s="22" t="n">
        <v>0.55</v>
      </c>
      <c r="G16" s="22" t="n">
        <v>0.45</v>
      </c>
      <c r="H16" s="22" t="n">
        <v>0.55</v>
      </c>
      <c r="I16" s="20" t="s">
        <v>119</v>
      </c>
      <c r="J16" s="23" t="n">
        <v>8.7</v>
      </c>
      <c r="K16" s="22" t="n">
        <v>0.8</v>
      </c>
      <c r="L16" s="22" t="n">
        <v>0.7</v>
      </c>
      <c r="M16" s="20" t="s">
        <v>82</v>
      </c>
      <c r="N16" s="20" t="s">
        <v>81</v>
      </c>
      <c r="O16" s="20" t="s">
        <v>81</v>
      </c>
      <c r="P16" s="20" t="s">
        <v>82</v>
      </c>
      <c r="Q16" s="20" t="s">
        <v>81</v>
      </c>
      <c r="R16" s="20" t="s">
        <v>82</v>
      </c>
    </row>
    <row r="17" customFormat="false" ht="15" hidden="false" customHeight="true" outlineLevel="0" collapsed="false">
      <c r="A17" s="14" t="s">
        <v>120</v>
      </c>
      <c r="B17" s="21" t="s">
        <v>121</v>
      </c>
      <c r="C17" s="22" t="n">
        <v>0.65</v>
      </c>
      <c r="D17" s="22" t="n">
        <v>0.4</v>
      </c>
      <c r="E17" s="22" t="n">
        <v>0.35</v>
      </c>
      <c r="F17" s="22" t="n">
        <v>0.6</v>
      </c>
      <c r="G17" s="22" t="n">
        <v>0.45</v>
      </c>
      <c r="H17" s="22" t="n">
        <v>0.55</v>
      </c>
      <c r="I17" s="20" t="s">
        <v>122</v>
      </c>
      <c r="J17" s="23" t="n">
        <v>5.1</v>
      </c>
      <c r="K17" s="22" t="n">
        <v>0.8</v>
      </c>
      <c r="L17" s="22" t="n">
        <v>0.6</v>
      </c>
      <c r="M17" s="20" t="s">
        <v>81</v>
      </c>
      <c r="N17" s="20" t="s">
        <v>82</v>
      </c>
      <c r="O17" s="20" t="s">
        <v>81</v>
      </c>
      <c r="P17" s="20" t="s">
        <v>82</v>
      </c>
      <c r="Q17" s="20" t="s">
        <v>82</v>
      </c>
      <c r="R17" s="20" t="s">
        <v>81</v>
      </c>
    </row>
    <row r="18" customFormat="false" ht="15" hidden="false" customHeight="true" outlineLevel="0" collapsed="false">
      <c r="A18" s="14" t="s">
        <v>123</v>
      </c>
      <c r="B18" s="21" t="s">
        <v>124</v>
      </c>
      <c r="C18" s="22" t="n">
        <v>0.7</v>
      </c>
      <c r="D18" s="22" t="n">
        <v>0.3</v>
      </c>
      <c r="E18" s="22" t="n">
        <v>0.25</v>
      </c>
      <c r="F18" s="22" t="n">
        <v>0.55</v>
      </c>
      <c r="G18" s="22" t="n">
        <v>0.45</v>
      </c>
      <c r="H18" s="22" t="n">
        <v>0.6</v>
      </c>
      <c r="I18" s="20" t="s">
        <v>125</v>
      </c>
      <c r="J18" s="23" t="n">
        <v>5.1</v>
      </c>
      <c r="K18" s="22" t="n">
        <v>0.75</v>
      </c>
      <c r="L18" s="22" t="n">
        <v>0.8</v>
      </c>
      <c r="M18" s="20" t="s">
        <v>81</v>
      </c>
      <c r="N18" s="20" t="s">
        <v>82</v>
      </c>
      <c r="O18" s="20" t="s">
        <v>81</v>
      </c>
      <c r="P18" s="20" t="s">
        <v>82</v>
      </c>
      <c r="Q18" s="20" t="s">
        <v>82</v>
      </c>
      <c r="R18" s="20" t="s">
        <v>81</v>
      </c>
    </row>
    <row r="19" customFormat="false" ht="23.25" hidden="false" customHeight="true" outlineLevel="0" collapsed="false">
      <c r="A19" s="14" t="s">
        <v>126</v>
      </c>
      <c r="B19" s="21" t="s">
        <v>127</v>
      </c>
      <c r="C19" s="22" t="n">
        <v>0.35</v>
      </c>
      <c r="D19" s="22" t="n">
        <v>0.5</v>
      </c>
      <c r="E19" s="22" t="n">
        <v>0.55</v>
      </c>
      <c r="F19" s="22" t="n">
        <v>0.85</v>
      </c>
      <c r="G19" s="22" t="n">
        <v>0.35</v>
      </c>
      <c r="H19" s="22" t="n">
        <v>0.95</v>
      </c>
      <c r="I19" s="20" t="s">
        <v>128</v>
      </c>
      <c r="J19" s="23" t="n">
        <v>8.9</v>
      </c>
      <c r="K19" s="22" t="n">
        <v>0.7</v>
      </c>
      <c r="L19" s="22" t="n">
        <v>0.65</v>
      </c>
      <c r="M19" s="20" t="s">
        <v>82</v>
      </c>
      <c r="N19" s="20" t="s">
        <v>82</v>
      </c>
      <c r="O19" s="20" t="s">
        <v>81</v>
      </c>
      <c r="P19" s="20" t="s">
        <v>81</v>
      </c>
      <c r="Q19" s="20" t="s">
        <v>81</v>
      </c>
      <c r="R19" s="20" t="s">
        <v>83</v>
      </c>
    </row>
    <row r="20" customFormat="false" ht="15" hidden="false" customHeight="true" outlineLevel="0" collapsed="false">
      <c r="A20" s="14" t="s">
        <v>129</v>
      </c>
      <c r="B20" s="21" t="s">
        <v>130</v>
      </c>
      <c r="C20" s="22" t="n">
        <v>0.45</v>
      </c>
      <c r="D20" s="22" t="n">
        <v>0.45</v>
      </c>
      <c r="E20" s="22" t="n">
        <v>0.4</v>
      </c>
      <c r="F20" s="22" t="n">
        <v>0.7</v>
      </c>
      <c r="G20" s="22" t="n">
        <v>0.4</v>
      </c>
      <c r="H20" s="22" t="n">
        <v>0.65</v>
      </c>
      <c r="I20" s="20" t="s">
        <v>131</v>
      </c>
      <c r="J20" s="23" t="n">
        <v>7</v>
      </c>
      <c r="K20" s="22" t="n">
        <v>0.7</v>
      </c>
      <c r="L20" s="22" t="n">
        <v>0.7</v>
      </c>
      <c r="M20" s="20" t="s">
        <v>82</v>
      </c>
      <c r="N20" s="20" t="s">
        <v>82</v>
      </c>
      <c r="O20" s="20" t="s">
        <v>81</v>
      </c>
      <c r="P20" s="20" t="s">
        <v>82</v>
      </c>
      <c r="Q20" s="20" t="s">
        <v>82</v>
      </c>
      <c r="R20" s="20" t="s">
        <v>81</v>
      </c>
    </row>
    <row r="21" customFormat="false" ht="15" hidden="false" customHeight="true" outlineLevel="0" collapsed="false">
      <c r="A21" s="14" t="s">
        <v>132</v>
      </c>
      <c r="B21" s="21" t="s">
        <v>133</v>
      </c>
      <c r="C21" s="22" t="n">
        <v>0.5</v>
      </c>
      <c r="D21" s="22" t="n">
        <v>0.35</v>
      </c>
      <c r="E21" s="22" t="n">
        <v>0.5</v>
      </c>
      <c r="F21" s="22" t="n">
        <v>0.85</v>
      </c>
      <c r="G21" s="22" t="n">
        <v>0.4</v>
      </c>
      <c r="H21" s="22" t="n">
        <v>0.75</v>
      </c>
      <c r="I21" s="20" t="s">
        <v>95</v>
      </c>
      <c r="J21" s="23" t="n">
        <v>7.1</v>
      </c>
      <c r="K21" s="22" t="n">
        <v>0.8</v>
      </c>
      <c r="L21" s="22" t="n">
        <v>0.6</v>
      </c>
      <c r="M21" s="20" t="s">
        <v>82</v>
      </c>
      <c r="N21" s="20" t="s">
        <v>82</v>
      </c>
      <c r="O21" s="20" t="s">
        <v>81</v>
      </c>
      <c r="P21" s="20" t="s">
        <v>81</v>
      </c>
      <c r="Q21" s="20" t="s">
        <v>82</v>
      </c>
      <c r="R21" s="20" t="s">
        <v>81</v>
      </c>
    </row>
    <row r="22" customFormat="false" ht="15" hidden="false" customHeight="true" outlineLevel="0" collapsed="false">
      <c r="A22" s="14" t="s">
        <v>134</v>
      </c>
      <c r="B22" s="21" t="s">
        <v>135</v>
      </c>
      <c r="C22" s="22" t="n">
        <v>0.25</v>
      </c>
      <c r="D22" s="22" t="n">
        <v>0.5</v>
      </c>
      <c r="E22" s="22" t="n">
        <v>0.6</v>
      </c>
      <c r="F22" s="22" t="n">
        <v>0.95</v>
      </c>
      <c r="G22" s="22" t="n">
        <v>0.35</v>
      </c>
      <c r="H22" s="22" t="n">
        <v>0.85</v>
      </c>
      <c r="I22" s="20" t="s">
        <v>136</v>
      </c>
      <c r="J22" s="23" t="n">
        <v>9.5</v>
      </c>
      <c r="K22" s="22" t="n">
        <v>0.4</v>
      </c>
      <c r="L22" s="22" t="n">
        <v>0.65</v>
      </c>
      <c r="M22" s="20" t="s">
        <v>82</v>
      </c>
      <c r="N22" s="20" t="s">
        <v>82</v>
      </c>
      <c r="O22" s="20" t="s">
        <v>82</v>
      </c>
      <c r="P22" s="20" t="s">
        <v>81</v>
      </c>
      <c r="Q22" s="20" t="s">
        <v>81</v>
      </c>
      <c r="R22" s="20" t="s">
        <v>81</v>
      </c>
    </row>
    <row r="23" customFormat="false" ht="23.25" hidden="false" customHeight="true" outlineLevel="0" collapsed="false">
      <c r="A23" s="14" t="s">
        <v>137</v>
      </c>
      <c r="B23" s="21" t="s">
        <v>138</v>
      </c>
      <c r="C23" s="22" t="n">
        <v>0.55</v>
      </c>
      <c r="D23" s="22" t="n">
        <v>0.4</v>
      </c>
      <c r="E23" s="22" t="n">
        <v>0.55</v>
      </c>
      <c r="F23" s="22" t="n">
        <v>0.9</v>
      </c>
      <c r="G23" s="22" t="n">
        <v>0.4</v>
      </c>
      <c r="H23" s="22" t="n">
        <v>0.85</v>
      </c>
      <c r="I23" s="20" t="s">
        <v>139</v>
      </c>
      <c r="J23" s="23" t="n">
        <v>9.4</v>
      </c>
      <c r="K23" s="22" t="n">
        <v>0.8</v>
      </c>
      <c r="L23" s="22" t="n">
        <v>0.65</v>
      </c>
      <c r="M23" s="20" t="s">
        <v>82</v>
      </c>
      <c r="N23" s="20" t="s">
        <v>82</v>
      </c>
      <c r="O23" s="20" t="s">
        <v>81</v>
      </c>
      <c r="P23" s="20" t="s">
        <v>81</v>
      </c>
      <c r="Q23" s="20" t="s">
        <v>82</v>
      </c>
      <c r="R23" s="20" t="s">
        <v>81</v>
      </c>
    </row>
    <row r="24" customFormat="false" ht="15" hidden="false" customHeight="true" outlineLevel="0" collapsed="false">
      <c r="A24" s="14" t="s">
        <v>140</v>
      </c>
      <c r="B24" s="21" t="s">
        <v>141</v>
      </c>
      <c r="C24" s="22" t="n">
        <v>0.85</v>
      </c>
      <c r="D24" s="22" t="n">
        <v>0.5</v>
      </c>
      <c r="E24" s="22" t="n">
        <v>0.2</v>
      </c>
      <c r="F24" s="22" t="n">
        <v>0.45</v>
      </c>
      <c r="G24" s="22" t="n">
        <v>0.45</v>
      </c>
      <c r="H24" s="22" t="n">
        <v>0.6</v>
      </c>
      <c r="I24" s="20" t="s">
        <v>142</v>
      </c>
      <c r="J24" s="23" t="n">
        <v>4.8</v>
      </c>
      <c r="K24" s="22" t="n">
        <v>0.6</v>
      </c>
      <c r="L24" s="22" t="n">
        <v>0.55</v>
      </c>
      <c r="M24" s="20" t="s">
        <v>81</v>
      </c>
      <c r="N24" s="20" t="s">
        <v>82</v>
      </c>
      <c r="O24" s="20" t="s">
        <v>81</v>
      </c>
      <c r="P24" s="20" t="s">
        <v>82</v>
      </c>
      <c r="Q24" s="20" t="s">
        <v>82</v>
      </c>
      <c r="R24" s="20" t="s">
        <v>81</v>
      </c>
    </row>
    <row r="25" customFormat="false" ht="15" hidden="false" customHeight="true" outlineLevel="0" collapsed="false">
      <c r="A25" s="14" t="s">
        <v>143</v>
      </c>
      <c r="B25" s="21" t="s">
        <v>144</v>
      </c>
      <c r="C25" s="22" t="n">
        <v>0.35</v>
      </c>
      <c r="D25" s="22" t="n">
        <v>0.35</v>
      </c>
      <c r="E25" s="22" t="n">
        <v>0.3</v>
      </c>
      <c r="F25" s="22" t="n">
        <v>0.55</v>
      </c>
      <c r="G25" s="22" t="n">
        <v>0.45</v>
      </c>
      <c r="H25" s="22" t="n">
        <v>0.6</v>
      </c>
      <c r="I25" s="20" t="s">
        <v>145</v>
      </c>
      <c r="J25" s="23" t="n">
        <v>8.2</v>
      </c>
      <c r="K25" s="22" t="n">
        <v>0.75</v>
      </c>
      <c r="L25" s="22" t="n">
        <v>0.6</v>
      </c>
      <c r="M25" s="20" t="s">
        <v>82</v>
      </c>
      <c r="N25" s="20" t="s">
        <v>82</v>
      </c>
      <c r="O25" s="20" t="s">
        <v>81</v>
      </c>
      <c r="P25" s="20" t="s">
        <v>82</v>
      </c>
      <c r="Q25" s="20" t="s">
        <v>82</v>
      </c>
      <c r="R25" s="20" t="s">
        <v>82</v>
      </c>
    </row>
    <row r="26" customFormat="false" ht="15" hidden="false" customHeight="true" outlineLevel="0" collapsed="false">
      <c r="A26" s="14" t="s">
        <v>146</v>
      </c>
      <c r="B26" s="21" t="s">
        <v>147</v>
      </c>
      <c r="C26" s="22" t="n">
        <v>0.7</v>
      </c>
      <c r="D26" s="22" t="n">
        <v>0.35</v>
      </c>
      <c r="E26" s="22" t="n">
        <v>0.6</v>
      </c>
      <c r="F26" s="22" t="n">
        <v>0.9</v>
      </c>
      <c r="G26" s="22" t="n">
        <v>0.4</v>
      </c>
      <c r="H26" s="22" t="n">
        <v>0.85</v>
      </c>
      <c r="I26" s="20" t="s">
        <v>148</v>
      </c>
      <c r="J26" s="23" t="n">
        <v>9.5</v>
      </c>
      <c r="K26" s="22" t="n">
        <v>0.85</v>
      </c>
      <c r="L26" s="22" t="n">
        <v>0.65</v>
      </c>
      <c r="M26" s="20" t="s">
        <v>81</v>
      </c>
      <c r="N26" s="20" t="s">
        <v>82</v>
      </c>
      <c r="O26" s="20" t="s">
        <v>81</v>
      </c>
      <c r="P26" s="20" t="s">
        <v>81</v>
      </c>
      <c r="Q26" s="20" t="s">
        <v>82</v>
      </c>
      <c r="R26" s="20" t="s">
        <v>83</v>
      </c>
    </row>
    <row r="27" customFormat="false" ht="23.25" hidden="false" customHeight="true" outlineLevel="0" collapsed="false">
      <c r="A27" s="14" t="s">
        <v>149</v>
      </c>
      <c r="B27" s="21" t="s">
        <v>150</v>
      </c>
      <c r="C27" s="22" t="n">
        <v>0.35</v>
      </c>
      <c r="D27" s="22" t="n">
        <v>0.4</v>
      </c>
      <c r="E27" s="22" t="n">
        <v>0.45</v>
      </c>
      <c r="F27" s="22" t="n">
        <v>0.8</v>
      </c>
      <c r="G27" s="22" t="n">
        <v>0.4</v>
      </c>
      <c r="H27" s="22" t="n">
        <v>0.8</v>
      </c>
      <c r="I27" s="20" t="s">
        <v>151</v>
      </c>
      <c r="J27" s="23" t="n">
        <v>7</v>
      </c>
      <c r="K27" s="22" t="n">
        <v>0.75</v>
      </c>
      <c r="L27" s="22" t="n">
        <v>0.65</v>
      </c>
      <c r="M27" s="20" t="s">
        <v>82</v>
      </c>
      <c r="N27" s="20" t="s">
        <v>82</v>
      </c>
      <c r="O27" s="20" t="s">
        <v>81</v>
      </c>
      <c r="P27" s="20" t="s">
        <v>82</v>
      </c>
      <c r="Q27" s="20" t="s">
        <v>82</v>
      </c>
      <c r="R27" s="20" t="s">
        <v>81</v>
      </c>
    </row>
    <row r="28" customFormat="false" ht="23.25" hidden="false" customHeight="true" outlineLevel="0" collapsed="false">
      <c r="A28" s="14" t="s">
        <v>152</v>
      </c>
      <c r="B28" s="21" t="s">
        <v>153</v>
      </c>
      <c r="C28" s="22" t="n">
        <v>0.4</v>
      </c>
      <c r="D28" s="22" t="n">
        <v>0.35</v>
      </c>
      <c r="E28" s="22" t="n">
        <v>0.35</v>
      </c>
      <c r="F28" s="22" t="n">
        <v>0.65</v>
      </c>
      <c r="G28" s="22" t="n">
        <v>0.45</v>
      </c>
      <c r="H28" s="22" t="n">
        <v>0.55</v>
      </c>
      <c r="I28" s="20" t="s">
        <v>125</v>
      </c>
      <c r="J28" s="23" t="n">
        <v>5.1</v>
      </c>
      <c r="K28" s="22" t="n">
        <v>0.85</v>
      </c>
      <c r="L28" s="22" t="n">
        <v>0.6</v>
      </c>
      <c r="M28" s="20" t="s">
        <v>82</v>
      </c>
      <c r="N28" s="20" t="s">
        <v>82</v>
      </c>
      <c r="O28" s="20" t="s">
        <v>81</v>
      </c>
      <c r="P28" s="20" t="s">
        <v>82</v>
      </c>
      <c r="Q28" s="20" t="s">
        <v>82</v>
      </c>
      <c r="R28" s="20" t="s">
        <v>82</v>
      </c>
    </row>
    <row r="29" customFormat="false" ht="15" hidden="false" customHeight="true" outlineLevel="0" collapsed="false">
      <c r="A29" s="14" t="s">
        <v>154</v>
      </c>
      <c r="B29" s="21" t="s">
        <v>155</v>
      </c>
      <c r="C29" s="22" t="n">
        <v>0.8</v>
      </c>
      <c r="D29" s="22" t="n">
        <v>0.55</v>
      </c>
      <c r="E29" s="22" t="n">
        <v>0.35</v>
      </c>
      <c r="F29" s="22" t="n">
        <v>0.65</v>
      </c>
      <c r="G29" s="22" t="n">
        <v>0.4</v>
      </c>
      <c r="H29" s="22" t="n">
        <v>0.7</v>
      </c>
      <c r="I29" s="20" t="s">
        <v>156</v>
      </c>
      <c r="J29" s="23" t="n">
        <v>6</v>
      </c>
      <c r="K29" s="22" t="n">
        <v>0.65</v>
      </c>
      <c r="L29" s="22" t="n">
        <v>0.55</v>
      </c>
      <c r="M29" s="20" t="s">
        <v>81</v>
      </c>
      <c r="N29" s="20" t="s">
        <v>82</v>
      </c>
      <c r="O29" s="20" t="s">
        <v>82</v>
      </c>
      <c r="P29" s="20" t="s">
        <v>82</v>
      </c>
      <c r="Q29" s="20" t="s">
        <v>82</v>
      </c>
      <c r="R29" s="20" t="s">
        <v>81</v>
      </c>
    </row>
    <row r="30" customFormat="false" ht="15" hidden="false" customHeight="true" outlineLevel="0" collapsed="false">
      <c r="A30" s="14" t="s">
        <v>157</v>
      </c>
      <c r="B30" s="21" t="s">
        <v>158</v>
      </c>
      <c r="C30" s="22" t="n">
        <v>0.55</v>
      </c>
      <c r="D30" s="22" t="n">
        <v>0.5</v>
      </c>
      <c r="E30" s="22" t="n">
        <v>0.55</v>
      </c>
      <c r="F30" s="22" t="n">
        <v>0.9</v>
      </c>
      <c r="G30" s="22" t="n">
        <v>0.4</v>
      </c>
      <c r="H30" s="22" t="n">
        <v>0.85</v>
      </c>
      <c r="I30" s="20" t="s">
        <v>159</v>
      </c>
      <c r="J30" s="23" t="n">
        <v>9.3</v>
      </c>
      <c r="K30" s="22" t="n">
        <v>0.8</v>
      </c>
      <c r="L30" s="22" t="n">
        <v>0.6</v>
      </c>
      <c r="M30" s="20" t="s">
        <v>82</v>
      </c>
      <c r="N30" s="20" t="s">
        <v>82</v>
      </c>
      <c r="O30" s="20" t="s">
        <v>81</v>
      </c>
      <c r="P30" s="20" t="s">
        <v>81</v>
      </c>
      <c r="Q30" s="20" t="s">
        <v>82</v>
      </c>
      <c r="R30" s="20" t="s">
        <v>83</v>
      </c>
    </row>
    <row r="31" customFormat="false" ht="15" hidden="false" customHeight="true" outlineLevel="0" collapsed="false">
      <c r="A31" s="14" t="s">
        <v>160</v>
      </c>
      <c r="B31" s="21" t="s">
        <v>161</v>
      </c>
      <c r="C31" s="22" t="n">
        <v>0.15</v>
      </c>
      <c r="D31" s="22" t="n">
        <v>0.6</v>
      </c>
      <c r="E31" s="22" t="n">
        <v>0.6</v>
      </c>
      <c r="F31" s="22" t="n">
        <v>0.95</v>
      </c>
      <c r="G31" s="22" t="n">
        <v>0.35</v>
      </c>
      <c r="H31" s="22" t="n">
        <v>0.9</v>
      </c>
      <c r="I31" s="20" t="s">
        <v>162</v>
      </c>
      <c r="J31" s="23" t="n">
        <v>9.4</v>
      </c>
      <c r="K31" s="22" t="n">
        <v>0.55</v>
      </c>
      <c r="L31" s="22" t="n">
        <v>0.6</v>
      </c>
      <c r="M31" s="20" t="s">
        <v>82</v>
      </c>
      <c r="N31" s="20" t="s">
        <v>81</v>
      </c>
      <c r="O31" s="20" t="s">
        <v>81</v>
      </c>
      <c r="P31" s="20" t="s">
        <v>81</v>
      </c>
      <c r="Q31" s="20" t="s">
        <v>81</v>
      </c>
      <c r="R31" s="20" t="s">
        <v>83</v>
      </c>
    </row>
    <row r="32" customFormat="false" ht="23.25" hidden="false" customHeight="true" outlineLevel="0" collapsed="false">
      <c r="A32" s="14" t="s">
        <v>163</v>
      </c>
      <c r="B32" s="21" t="s">
        <v>164</v>
      </c>
      <c r="C32" s="22" t="n">
        <v>0.25</v>
      </c>
      <c r="D32" s="22" t="n">
        <v>0.4</v>
      </c>
      <c r="E32" s="22" t="n">
        <v>0.45</v>
      </c>
      <c r="F32" s="22" t="n">
        <v>0.85</v>
      </c>
      <c r="G32" s="22" t="n">
        <v>0.4</v>
      </c>
      <c r="H32" s="22" t="n">
        <v>0.85</v>
      </c>
      <c r="I32" s="20" t="s">
        <v>165</v>
      </c>
      <c r="J32" s="23" t="n">
        <v>8.6</v>
      </c>
      <c r="K32" s="22" t="n">
        <v>0.75</v>
      </c>
      <c r="L32" s="22" t="n">
        <v>0.7</v>
      </c>
      <c r="M32" s="20" t="s">
        <v>82</v>
      </c>
      <c r="N32" s="20" t="s">
        <v>82</v>
      </c>
      <c r="O32" s="20" t="s">
        <v>82</v>
      </c>
      <c r="P32" s="20" t="s">
        <v>81</v>
      </c>
      <c r="Q32" s="20" t="s">
        <v>82</v>
      </c>
      <c r="R32" s="20" t="s">
        <v>83</v>
      </c>
    </row>
    <row r="33" customFormat="false" ht="15" hidden="false" customHeight="true" outlineLevel="0" collapsed="false">
      <c r="A33" s="14" t="s">
        <v>166</v>
      </c>
      <c r="B33" s="21" t="s">
        <v>167</v>
      </c>
      <c r="C33" s="22" t="n">
        <v>0.7</v>
      </c>
      <c r="D33" s="22" t="n">
        <v>0.5</v>
      </c>
      <c r="E33" s="22" t="n">
        <v>0.3</v>
      </c>
      <c r="F33" s="22" t="n">
        <v>0.55</v>
      </c>
      <c r="G33" s="22" t="n">
        <v>0.45</v>
      </c>
      <c r="H33" s="22" t="n">
        <v>0.55</v>
      </c>
      <c r="I33" s="20" t="s">
        <v>168</v>
      </c>
      <c r="J33" s="23" t="n">
        <v>5.1</v>
      </c>
      <c r="K33" s="22" t="n">
        <v>0.55</v>
      </c>
      <c r="L33" s="22" t="n">
        <v>0.6</v>
      </c>
      <c r="M33" s="20" t="s">
        <v>81</v>
      </c>
      <c r="N33" s="20" t="s">
        <v>82</v>
      </c>
      <c r="O33" s="20" t="s">
        <v>82</v>
      </c>
      <c r="P33" s="20" t="s">
        <v>82</v>
      </c>
      <c r="Q33" s="20" t="s">
        <v>82</v>
      </c>
      <c r="R33" s="2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6"/>
    <col collapsed="false" customWidth="true" hidden="false" outlineLevel="0" max="4" min="4" style="1" width="11"/>
    <col collapsed="false" customWidth="true" hidden="false" outlineLevel="0" max="5" min="5" style="1" width="16"/>
    <col collapsed="false" customWidth="true" hidden="false" outlineLevel="0" max="8" min="6" style="1" width="12"/>
    <col collapsed="false" customWidth="true" hidden="false" outlineLevel="0" max="9" min="9" style="1" width="9"/>
    <col collapsed="false" customWidth="true" hidden="false" outlineLevel="0" max="10" min="10" style="1" width="12"/>
    <col collapsed="false" customWidth="true" hidden="false" outlineLevel="0" max="40" min="11" style="1" width="5"/>
    <col collapsed="false" customWidth="true" hidden="false" outlineLevel="0" max="42" min="41" style="1" width="9"/>
    <col collapsed="false" customWidth="true" hidden="false" outlineLevel="0" max="43" min="43" style="1" width="50"/>
  </cols>
  <sheetData>
    <row r="1" customFormat="false" ht="17.25" hidden="false" customHeight="true" outlineLevel="0" collapsed="false">
      <c r="A1" s="2" t="s">
        <v>169</v>
      </c>
    </row>
    <row r="3" customFormat="false" ht="23.25" hidden="false" customHeight="true" outlineLevel="0" collapsed="false">
      <c r="A3" s="5" t="s">
        <v>27</v>
      </c>
      <c r="B3" s="5" t="s">
        <v>170</v>
      </c>
      <c r="C3" s="5" t="s">
        <v>171</v>
      </c>
      <c r="D3" s="5" t="s">
        <v>172</v>
      </c>
      <c r="E3" s="5" t="s">
        <v>173</v>
      </c>
      <c r="F3" s="5" t="s">
        <v>174</v>
      </c>
      <c r="G3" s="5" t="s">
        <v>175</v>
      </c>
      <c r="H3" s="5" t="s">
        <v>176</v>
      </c>
      <c r="I3" s="5" t="s">
        <v>177</v>
      </c>
      <c r="J3" s="5" t="s">
        <v>178</v>
      </c>
      <c r="K3" s="5" t="s">
        <v>78</v>
      </c>
      <c r="L3" s="5" t="s">
        <v>84</v>
      </c>
      <c r="M3" s="5" t="s">
        <v>87</v>
      </c>
      <c r="N3" s="5" t="s">
        <v>90</v>
      </c>
      <c r="O3" s="5" t="s">
        <v>93</v>
      </c>
      <c r="P3" s="5" t="s">
        <v>96</v>
      </c>
      <c r="Q3" s="5" t="s">
        <v>99</v>
      </c>
      <c r="R3" s="5" t="s">
        <v>102</v>
      </c>
      <c r="S3" s="5" t="s">
        <v>105</v>
      </c>
      <c r="T3" s="5" t="s">
        <v>108</v>
      </c>
      <c r="U3" s="5" t="s">
        <v>111</v>
      </c>
      <c r="V3" s="5" t="s">
        <v>114</v>
      </c>
      <c r="W3" s="5" t="s">
        <v>117</v>
      </c>
      <c r="X3" s="5" t="s">
        <v>120</v>
      </c>
      <c r="Y3" s="5" t="s">
        <v>123</v>
      </c>
      <c r="Z3" s="5" t="s">
        <v>126</v>
      </c>
      <c r="AA3" s="5" t="s">
        <v>129</v>
      </c>
      <c r="AB3" s="5" t="s">
        <v>132</v>
      </c>
      <c r="AC3" s="5" t="s">
        <v>134</v>
      </c>
      <c r="AD3" s="5" t="s">
        <v>137</v>
      </c>
      <c r="AE3" s="5" t="s">
        <v>140</v>
      </c>
      <c r="AF3" s="5" t="s">
        <v>143</v>
      </c>
      <c r="AG3" s="5" t="s">
        <v>146</v>
      </c>
      <c r="AH3" s="5" t="s">
        <v>149</v>
      </c>
      <c r="AI3" s="5" t="s">
        <v>152</v>
      </c>
      <c r="AJ3" s="5" t="s">
        <v>154</v>
      </c>
      <c r="AK3" s="5" t="s">
        <v>157</v>
      </c>
      <c r="AL3" s="5" t="s">
        <v>160</v>
      </c>
      <c r="AM3" s="5" t="s">
        <v>163</v>
      </c>
      <c r="AN3" s="5" t="s">
        <v>166</v>
      </c>
      <c r="AO3" s="5" t="s">
        <v>179</v>
      </c>
      <c r="AP3" s="5" t="s">
        <v>180</v>
      </c>
      <c r="AQ3" s="5" t="s">
        <v>181</v>
      </c>
    </row>
    <row r="4" customFormat="false" ht="23.25" hidden="false" customHeight="true" outlineLevel="0" collapsed="false">
      <c r="A4" s="14" t="s">
        <v>182</v>
      </c>
      <c r="B4" s="21" t="s">
        <v>183</v>
      </c>
      <c r="C4" s="21" t="s">
        <v>184</v>
      </c>
      <c r="D4" s="14" t="s">
        <v>185</v>
      </c>
      <c r="E4" s="21" t="s">
        <v>186</v>
      </c>
      <c r="F4" s="24" t="n">
        <v>180000</v>
      </c>
      <c r="G4" s="24" t="n">
        <v>60000</v>
      </c>
      <c r="H4" s="25" t="n">
        <f aca="false">F4+G4</f>
        <v>240000</v>
      </c>
      <c r="I4" s="26" t="n">
        <f aca="false">SUM(K4:AN4)</f>
        <v>7</v>
      </c>
      <c r="J4" s="25" t="n">
        <f aca="false">IF(I4=0,0,H4/I4)</f>
        <v>34285.7142857143</v>
      </c>
      <c r="K4" s="27" t="n">
        <v>1</v>
      </c>
      <c r="L4" s="27" t="n">
        <v>0</v>
      </c>
      <c r="M4" s="27" t="n">
        <v>0</v>
      </c>
      <c r="N4" s="27" t="n">
        <v>0</v>
      </c>
      <c r="O4" s="27" t="n">
        <v>0</v>
      </c>
      <c r="P4" s="27" t="n">
        <v>0</v>
      </c>
      <c r="Q4" s="27" t="n">
        <v>0</v>
      </c>
      <c r="R4" s="27" t="n">
        <v>1</v>
      </c>
      <c r="S4" s="27" t="n">
        <v>1</v>
      </c>
      <c r="T4" s="27" t="n">
        <v>1</v>
      </c>
      <c r="U4" s="27" t="n">
        <v>0</v>
      </c>
      <c r="V4" s="27" t="n">
        <v>0</v>
      </c>
      <c r="W4" s="27" t="n">
        <v>0</v>
      </c>
      <c r="X4" s="27" t="n">
        <v>0</v>
      </c>
      <c r="Y4" s="27" t="n">
        <v>0</v>
      </c>
      <c r="Z4" s="27" t="n">
        <v>0</v>
      </c>
      <c r="AA4" s="27" t="n">
        <v>0</v>
      </c>
      <c r="AB4" s="27" t="n">
        <v>0</v>
      </c>
      <c r="AC4" s="27" t="n">
        <v>0</v>
      </c>
      <c r="AD4" s="27" t="n">
        <v>1</v>
      </c>
      <c r="AE4" s="27" t="n">
        <v>0</v>
      </c>
      <c r="AF4" s="27" t="n">
        <v>0</v>
      </c>
      <c r="AG4" s="27" t="n">
        <v>1</v>
      </c>
      <c r="AH4" s="27" t="n">
        <v>0</v>
      </c>
      <c r="AI4" s="27" t="n">
        <v>0</v>
      </c>
      <c r="AJ4" s="27" t="n">
        <v>0</v>
      </c>
      <c r="AK4" s="27" t="n">
        <v>1</v>
      </c>
      <c r="AL4" s="27" t="n">
        <v>0</v>
      </c>
      <c r="AM4" s="27" t="n">
        <v>0</v>
      </c>
      <c r="AN4" s="27" t="n">
        <v>0</v>
      </c>
      <c r="AO4" s="14" t="s">
        <v>187</v>
      </c>
      <c r="AP4" s="14" t="s">
        <v>188</v>
      </c>
      <c r="AQ4" s="21" t="s">
        <v>189</v>
      </c>
    </row>
    <row r="5" customFormat="false" ht="23.25" hidden="false" customHeight="true" outlineLevel="0" collapsed="false">
      <c r="A5" s="14" t="s">
        <v>190</v>
      </c>
      <c r="B5" s="21" t="s">
        <v>191</v>
      </c>
      <c r="C5" s="21" t="s">
        <v>192</v>
      </c>
      <c r="D5" s="14" t="s">
        <v>193</v>
      </c>
      <c r="E5" s="21" t="s">
        <v>194</v>
      </c>
      <c r="F5" s="24" t="n">
        <v>250000</v>
      </c>
      <c r="G5" s="24" t="n">
        <v>80000</v>
      </c>
      <c r="H5" s="25" t="n">
        <f aca="false">F5+G5</f>
        <v>330000</v>
      </c>
      <c r="I5" s="26" t="n">
        <f aca="false">SUM(K5:AN5)</f>
        <v>9</v>
      </c>
      <c r="J5" s="25" t="n">
        <f aca="false">IF(I5=0,0,H5/I5)</f>
        <v>36666.6666666667</v>
      </c>
      <c r="K5" s="27" t="n">
        <v>1</v>
      </c>
      <c r="L5" s="27" t="n">
        <v>1</v>
      </c>
      <c r="M5" s="27" t="n">
        <v>1</v>
      </c>
      <c r="N5" s="27" t="n">
        <v>0</v>
      </c>
      <c r="O5" s="27" t="n">
        <v>1</v>
      </c>
      <c r="P5" s="27" t="n">
        <v>0</v>
      </c>
      <c r="Q5" s="27" t="n">
        <v>0</v>
      </c>
      <c r="R5" s="27" t="n">
        <v>0</v>
      </c>
      <c r="S5" s="27" t="n">
        <v>1</v>
      </c>
      <c r="T5" s="27" t="n">
        <v>1</v>
      </c>
      <c r="U5" s="27" t="n">
        <v>0</v>
      </c>
      <c r="V5" s="27" t="n">
        <v>0</v>
      </c>
      <c r="W5" s="27" t="n">
        <v>0</v>
      </c>
      <c r="X5" s="27" t="n">
        <v>0</v>
      </c>
      <c r="Y5" s="27" t="n">
        <v>0</v>
      </c>
      <c r="Z5" s="27" t="n">
        <v>0</v>
      </c>
      <c r="AA5" s="27" t="n">
        <v>0</v>
      </c>
      <c r="AB5" s="27" t="n">
        <v>0</v>
      </c>
      <c r="AC5" s="27" t="n">
        <v>0</v>
      </c>
      <c r="AD5" s="27" t="n">
        <v>1</v>
      </c>
      <c r="AE5" s="27" t="n">
        <v>0</v>
      </c>
      <c r="AF5" s="27" t="n">
        <v>0</v>
      </c>
      <c r="AG5" s="27" t="n">
        <v>1</v>
      </c>
      <c r="AH5" s="27" t="n">
        <v>0</v>
      </c>
      <c r="AI5" s="27" t="n">
        <v>0</v>
      </c>
      <c r="AJ5" s="27" t="n">
        <v>0</v>
      </c>
      <c r="AK5" s="27" t="n">
        <v>0</v>
      </c>
      <c r="AL5" s="27" t="n">
        <v>1</v>
      </c>
      <c r="AM5" s="27" t="n">
        <v>0</v>
      </c>
      <c r="AN5" s="27" t="n">
        <v>0</v>
      </c>
      <c r="AO5" s="14" t="s">
        <v>195</v>
      </c>
      <c r="AP5" s="14" t="s">
        <v>196</v>
      </c>
      <c r="AQ5" s="21" t="s">
        <v>197</v>
      </c>
    </row>
    <row r="6" customFormat="false" ht="23.25" hidden="false" customHeight="true" outlineLevel="0" collapsed="false">
      <c r="A6" s="14" t="s">
        <v>198</v>
      </c>
      <c r="B6" s="21" t="s">
        <v>199</v>
      </c>
      <c r="C6" s="21" t="s">
        <v>192</v>
      </c>
      <c r="D6" s="14" t="s">
        <v>185</v>
      </c>
      <c r="E6" s="21" t="s">
        <v>200</v>
      </c>
      <c r="F6" s="24" t="n">
        <v>200000</v>
      </c>
      <c r="G6" s="24" t="n">
        <v>420000</v>
      </c>
      <c r="H6" s="25" t="n">
        <f aca="false">F6+G6</f>
        <v>620000</v>
      </c>
      <c r="I6" s="26" t="n">
        <f aca="false">SUM(K6:AN6)</f>
        <v>17</v>
      </c>
      <c r="J6" s="25" t="n">
        <f aca="false">IF(I6=0,0,H6/I6)</f>
        <v>36470.5882352941</v>
      </c>
      <c r="K6" s="27" t="n">
        <v>1</v>
      </c>
      <c r="L6" s="27" t="n">
        <v>1</v>
      </c>
      <c r="M6" s="27" t="n">
        <v>1</v>
      </c>
      <c r="N6" s="27" t="n">
        <v>1</v>
      </c>
      <c r="O6" s="27" t="n">
        <v>1</v>
      </c>
      <c r="P6" s="27" t="n">
        <v>1</v>
      </c>
      <c r="Q6" s="27" t="n">
        <v>0</v>
      </c>
      <c r="R6" s="27" t="n">
        <v>1</v>
      </c>
      <c r="S6" s="27" t="n">
        <v>1</v>
      </c>
      <c r="T6" s="27" t="n">
        <v>1</v>
      </c>
      <c r="U6" s="27" t="n">
        <v>1</v>
      </c>
      <c r="V6" s="27" t="n">
        <v>1</v>
      </c>
      <c r="W6" s="27" t="n">
        <v>0</v>
      </c>
      <c r="X6" s="27" t="n">
        <v>0</v>
      </c>
      <c r="Y6" s="27" t="n">
        <v>0</v>
      </c>
      <c r="Z6" s="27" t="n">
        <v>0</v>
      </c>
      <c r="AA6" s="27" t="n">
        <v>0</v>
      </c>
      <c r="AB6" s="27" t="n">
        <v>1</v>
      </c>
      <c r="AC6" s="27" t="n">
        <v>1</v>
      </c>
      <c r="AD6" s="27" t="n">
        <v>1</v>
      </c>
      <c r="AE6" s="27" t="n">
        <v>0</v>
      </c>
      <c r="AF6" s="27" t="n">
        <v>0</v>
      </c>
      <c r="AG6" s="27" t="n">
        <v>1</v>
      </c>
      <c r="AH6" s="27" t="n">
        <v>1</v>
      </c>
      <c r="AI6" s="27" t="n">
        <v>0</v>
      </c>
      <c r="AJ6" s="27" t="n">
        <v>0</v>
      </c>
      <c r="AK6" s="27" t="n">
        <v>0</v>
      </c>
      <c r="AL6" s="27" t="n">
        <v>1</v>
      </c>
      <c r="AM6" s="27" t="n">
        <v>0</v>
      </c>
      <c r="AN6" s="27" t="n">
        <v>0</v>
      </c>
      <c r="AO6" s="14" t="s">
        <v>187</v>
      </c>
      <c r="AP6" s="14" t="s">
        <v>188</v>
      </c>
      <c r="AQ6" s="21" t="s">
        <v>201</v>
      </c>
    </row>
    <row r="7" customFormat="false" ht="23.25" hidden="false" customHeight="true" outlineLevel="0" collapsed="false">
      <c r="A7" s="14" t="s">
        <v>202</v>
      </c>
      <c r="B7" s="21" t="s">
        <v>203</v>
      </c>
      <c r="C7" s="21" t="s">
        <v>204</v>
      </c>
      <c r="D7" s="14" t="s">
        <v>185</v>
      </c>
      <c r="E7" s="21" t="s">
        <v>205</v>
      </c>
      <c r="F7" s="24" t="n">
        <v>300000</v>
      </c>
      <c r="G7" s="24" t="n">
        <v>90000</v>
      </c>
      <c r="H7" s="25" t="n">
        <f aca="false">F7+G7</f>
        <v>390000</v>
      </c>
      <c r="I7" s="26" t="n">
        <f aca="false">SUM(K7:AN7)</f>
        <v>4</v>
      </c>
      <c r="J7" s="25" t="n">
        <f aca="false">IF(I7=0,0,H7/I7)</f>
        <v>97500</v>
      </c>
      <c r="K7" s="27" t="n">
        <v>0</v>
      </c>
      <c r="L7" s="27" t="n">
        <v>1</v>
      </c>
      <c r="M7" s="27" t="n">
        <v>1</v>
      </c>
      <c r="N7" s="27" t="n">
        <v>0</v>
      </c>
      <c r="O7" s="27" t="n">
        <v>0</v>
      </c>
      <c r="P7" s="27" t="n">
        <v>0</v>
      </c>
      <c r="Q7" s="27" t="n">
        <v>0</v>
      </c>
      <c r="R7" s="27" t="n">
        <v>0</v>
      </c>
      <c r="S7" s="27" t="n">
        <v>0</v>
      </c>
      <c r="T7" s="27" t="n">
        <v>1</v>
      </c>
      <c r="U7" s="27" t="n">
        <v>0</v>
      </c>
      <c r="V7" s="27" t="n">
        <v>0</v>
      </c>
      <c r="W7" s="27" t="n">
        <v>0</v>
      </c>
      <c r="X7" s="27" t="n">
        <v>0</v>
      </c>
      <c r="Y7" s="27" t="n">
        <v>0</v>
      </c>
      <c r="Z7" s="27" t="n">
        <v>0</v>
      </c>
      <c r="AA7" s="27" t="n">
        <v>0</v>
      </c>
      <c r="AB7" s="27" t="n">
        <v>0</v>
      </c>
      <c r="AC7" s="27" t="n">
        <v>0</v>
      </c>
      <c r="AD7" s="27" t="n">
        <v>0</v>
      </c>
      <c r="AE7" s="27" t="n">
        <v>0</v>
      </c>
      <c r="AF7" s="27" t="n">
        <v>0</v>
      </c>
      <c r="AG7" s="27" t="n">
        <v>0</v>
      </c>
      <c r="AH7" s="27" t="n">
        <v>0</v>
      </c>
      <c r="AI7" s="27" t="n">
        <v>0</v>
      </c>
      <c r="AJ7" s="27" t="n">
        <v>0</v>
      </c>
      <c r="AK7" s="27" t="n">
        <v>0</v>
      </c>
      <c r="AL7" s="27" t="n">
        <v>1</v>
      </c>
      <c r="AM7" s="27" t="n">
        <v>0</v>
      </c>
      <c r="AN7" s="27" t="n">
        <v>0</v>
      </c>
      <c r="AO7" s="14" t="s">
        <v>187</v>
      </c>
      <c r="AP7" s="14" t="s">
        <v>206</v>
      </c>
      <c r="AQ7" s="21" t="s">
        <v>207</v>
      </c>
    </row>
    <row r="8" customFormat="false" ht="23.25" hidden="false" customHeight="true" outlineLevel="0" collapsed="false">
      <c r="A8" s="14" t="s">
        <v>208</v>
      </c>
      <c r="B8" s="21" t="s">
        <v>209</v>
      </c>
      <c r="C8" s="21" t="s">
        <v>184</v>
      </c>
      <c r="D8" s="14" t="s">
        <v>193</v>
      </c>
      <c r="E8" s="21" t="s">
        <v>186</v>
      </c>
      <c r="F8" s="24" t="n">
        <v>150000</v>
      </c>
      <c r="G8" s="24" t="n">
        <v>216000</v>
      </c>
      <c r="H8" s="25" t="n">
        <f aca="false">F8+G8</f>
        <v>366000</v>
      </c>
      <c r="I8" s="26" t="n">
        <f aca="false">SUM(K8:AN8)</f>
        <v>5</v>
      </c>
      <c r="J8" s="25" t="n">
        <f aca="false">IF(I8=0,0,H8/I8)</f>
        <v>73200</v>
      </c>
      <c r="K8" s="27" t="n">
        <v>0</v>
      </c>
      <c r="L8" s="27" t="n">
        <v>1</v>
      </c>
      <c r="M8" s="27" t="n">
        <v>0</v>
      </c>
      <c r="N8" s="27" t="n">
        <v>0</v>
      </c>
      <c r="O8" s="27" t="n">
        <v>0</v>
      </c>
      <c r="P8" s="27" t="n">
        <v>1</v>
      </c>
      <c r="Q8" s="27" t="n">
        <v>1</v>
      </c>
      <c r="R8" s="27" t="n">
        <v>0</v>
      </c>
      <c r="S8" s="27" t="n">
        <v>0</v>
      </c>
      <c r="T8" s="27" t="n">
        <v>0</v>
      </c>
      <c r="U8" s="27" t="n">
        <v>0</v>
      </c>
      <c r="V8" s="27" t="n">
        <v>0</v>
      </c>
      <c r="W8" s="27" t="n">
        <v>0</v>
      </c>
      <c r="X8" s="27" t="n">
        <v>0</v>
      </c>
      <c r="Y8" s="27" t="n">
        <v>0</v>
      </c>
      <c r="Z8" s="27" t="n">
        <v>0</v>
      </c>
      <c r="AA8" s="27" t="n">
        <v>0</v>
      </c>
      <c r="AB8" s="27" t="n">
        <v>1</v>
      </c>
      <c r="AC8" s="27" t="n">
        <v>0</v>
      </c>
      <c r="AD8" s="27" t="n">
        <v>0</v>
      </c>
      <c r="AE8" s="27" t="n">
        <v>0</v>
      </c>
      <c r="AF8" s="27" t="n">
        <v>0</v>
      </c>
      <c r="AG8" s="27" t="n">
        <v>1</v>
      </c>
      <c r="AH8" s="27" t="n">
        <v>0</v>
      </c>
      <c r="AI8" s="27" t="n">
        <v>0</v>
      </c>
      <c r="AJ8" s="27" t="n">
        <v>0</v>
      </c>
      <c r="AK8" s="27" t="n">
        <v>0</v>
      </c>
      <c r="AL8" s="27" t="n">
        <v>0</v>
      </c>
      <c r="AM8" s="27" t="n">
        <v>0</v>
      </c>
      <c r="AN8" s="27" t="n">
        <v>0</v>
      </c>
      <c r="AO8" s="14" t="s">
        <v>210</v>
      </c>
      <c r="AP8" s="14" t="s">
        <v>206</v>
      </c>
      <c r="AQ8" s="21" t="s">
        <v>211</v>
      </c>
    </row>
    <row r="9" customFormat="false" ht="23.25" hidden="false" customHeight="true" outlineLevel="0" collapsed="false">
      <c r="A9" s="14" t="s">
        <v>212</v>
      </c>
      <c r="B9" s="21" t="s">
        <v>213</v>
      </c>
      <c r="C9" s="21" t="s">
        <v>204</v>
      </c>
      <c r="D9" s="14" t="s">
        <v>214</v>
      </c>
      <c r="E9" s="21" t="s">
        <v>215</v>
      </c>
      <c r="F9" s="24" t="n">
        <v>450000</v>
      </c>
      <c r="G9" s="24" t="n">
        <v>70000</v>
      </c>
      <c r="H9" s="25" t="n">
        <f aca="false">F9+G9</f>
        <v>520000</v>
      </c>
      <c r="I9" s="26" t="n">
        <f aca="false">SUM(K9:AN9)</f>
        <v>7</v>
      </c>
      <c r="J9" s="25" t="n">
        <f aca="false">IF(I9=0,0,H9/I9)</f>
        <v>74285.7142857143</v>
      </c>
      <c r="K9" s="27" t="n">
        <v>0</v>
      </c>
      <c r="L9" s="27" t="n">
        <v>1</v>
      </c>
      <c r="M9" s="27" t="n">
        <v>1</v>
      </c>
      <c r="N9" s="27" t="n">
        <v>0</v>
      </c>
      <c r="O9" s="27" t="n">
        <v>0</v>
      </c>
      <c r="P9" s="27" t="n">
        <v>1</v>
      </c>
      <c r="Q9" s="27" t="n">
        <v>1</v>
      </c>
      <c r="R9" s="27" t="n">
        <v>0</v>
      </c>
      <c r="S9" s="27" t="n">
        <v>0</v>
      </c>
      <c r="T9" s="27" t="n">
        <v>0</v>
      </c>
      <c r="U9" s="27" t="n">
        <v>0</v>
      </c>
      <c r="V9" s="27" t="n">
        <v>1</v>
      </c>
      <c r="W9" s="27" t="n">
        <v>0</v>
      </c>
      <c r="X9" s="27" t="n">
        <v>0</v>
      </c>
      <c r="Y9" s="27" t="n">
        <v>0</v>
      </c>
      <c r="Z9" s="27" t="n">
        <v>0</v>
      </c>
      <c r="AA9" s="27" t="n">
        <v>0</v>
      </c>
      <c r="AB9" s="27" t="n">
        <v>0</v>
      </c>
      <c r="AC9" s="27" t="n">
        <v>0</v>
      </c>
      <c r="AD9" s="27" t="n">
        <v>0</v>
      </c>
      <c r="AE9" s="27" t="n">
        <v>0</v>
      </c>
      <c r="AF9" s="27" t="n">
        <v>0</v>
      </c>
      <c r="AG9" s="27" t="n">
        <v>0</v>
      </c>
      <c r="AH9" s="27" t="n">
        <v>1</v>
      </c>
      <c r="AI9" s="27" t="n">
        <v>0</v>
      </c>
      <c r="AJ9" s="27" t="n">
        <v>0</v>
      </c>
      <c r="AK9" s="27" t="n">
        <v>0</v>
      </c>
      <c r="AL9" s="27" t="n">
        <v>0</v>
      </c>
      <c r="AM9" s="27" t="n">
        <v>1</v>
      </c>
      <c r="AN9" s="27" t="n">
        <v>0</v>
      </c>
      <c r="AO9" s="14" t="s">
        <v>188</v>
      </c>
      <c r="AP9" s="14" t="s">
        <v>216</v>
      </c>
      <c r="AQ9" s="21" t="s">
        <v>217</v>
      </c>
    </row>
    <row r="10" customFormat="false" ht="23.25" hidden="false" customHeight="true" outlineLevel="0" collapsed="false">
      <c r="A10" s="14" t="s">
        <v>218</v>
      </c>
      <c r="B10" s="21" t="s">
        <v>219</v>
      </c>
      <c r="C10" s="21" t="s">
        <v>220</v>
      </c>
      <c r="D10" s="14" t="s">
        <v>193</v>
      </c>
      <c r="E10" s="21" t="s">
        <v>221</v>
      </c>
      <c r="F10" s="24" t="n">
        <v>180000</v>
      </c>
      <c r="G10" s="24" t="n">
        <v>90000</v>
      </c>
      <c r="H10" s="25" t="n">
        <f aca="false">F10+G10</f>
        <v>270000</v>
      </c>
      <c r="I10" s="26" t="n">
        <f aca="false">SUM(K10:AN10)</f>
        <v>2</v>
      </c>
      <c r="J10" s="25" t="n">
        <f aca="false">IF(I10=0,0,H10/I10)</f>
        <v>135000</v>
      </c>
      <c r="K10" s="27" t="n">
        <v>0</v>
      </c>
      <c r="L10" s="27" t="n">
        <v>0</v>
      </c>
      <c r="M10" s="27" t="n">
        <v>0</v>
      </c>
      <c r="N10" s="27" t="n">
        <v>0</v>
      </c>
      <c r="O10" s="27" t="n">
        <v>0</v>
      </c>
      <c r="P10" s="27" t="n">
        <v>0</v>
      </c>
      <c r="Q10" s="27" t="n">
        <v>1</v>
      </c>
      <c r="R10" s="27" t="n">
        <v>0</v>
      </c>
      <c r="S10" s="27" t="n">
        <v>0</v>
      </c>
      <c r="T10" s="27" t="n">
        <v>0</v>
      </c>
      <c r="U10" s="27" t="n">
        <v>0</v>
      </c>
      <c r="V10" s="27" t="n">
        <v>0</v>
      </c>
      <c r="W10" s="27" t="n">
        <v>0</v>
      </c>
      <c r="X10" s="27" t="n">
        <v>0</v>
      </c>
      <c r="Y10" s="27" t="n">
        <v>0</v>
      </c>
      <c r="Z10" s="27" t="n">
        <v>0</v>
      </c>
      <c r="AA10" s="27" t="n">
        <v>0</v>
      </c>
      <c r="AB10" s="27" t="n">
        <v>0</v>
      </c>
      <c r="AC10" s="27" t="n">
        <v>0</v>
      </c>
      <c r="AD10" s="27" t="n">
        <v>0</v>
      </c>
      <c r="AE10" s="27" t="n">
        <v>0</v>
      </c>
      <c r="AF10" s="27" t="n">
        <v>0</v>
      </c>
      <c r="AG10" s="27" t="n">
        <v>0</v>
      </c>
      <c r="AH10" s="27" t="n">
        <v>1</v>
      </c>
      <c r="AI10" s="27" t="n">
        <v>0</v>
      </c>
      <c r="AJ10" s="27" t="n">
        <v>0</v>
      </c>
      <c r="AK10" s="27" t="n">
        <v>0</v>
      </c>
      <c r="AL10" s="27" t="n">
        <v>0</v>
      </c>
      <c r="AM10" s="27" t="n">
        <v>0</v>
      </c>
      <c r="AN10" s="27" t="n">
        <v>0</v>
      </c>
      <c r="AO10" s="14" t="s">
        <v>222</v>
      </c>
      <c r="AP10" s="14" t="s">
        <v>196</v>
      </c>
      <c r="AQ10" s="21" t="s">
        <v>223</v>
      </c>
    </row>
    <row r="11" customFormat="false" ht="23.25" hidden="false" customHeight="true" outlineLevel="0" collapsed="false">
      <c r="A11" s="14" t="s">
        <v>224</v>
      </c>
      <c r="B11" s="21" t="s">
        <v>225</v>
      </c>
      <c r="C11" s="21" t="s">
        <v>226</v>
      </c>
      <c r="D11" s="14" t="s">
        <v>185</v>
      </c>
      <c r="E11" s="21" t="s">
        <v>227</v>
      </c>
      <c r="F11" s="24" t="n">
        <v>120000</v>
      </c>
      <c r="G11" s="24" t="n">
        <v>60000</v>
      </c>
      <c r="H11" s="25" t="n">
        <f aca="false">F11+G11</f>
        <v>180000</v>
      </c>
      <c r="I11" s="26" t="n">
        <f aca="false">SUM(K11:AN11)</f>
        <v>3</v>
      </c>
      <c r="J11" s="25" t="n">
        <f aca="false">IF(I11=0,0,H11/I11)</f>
        <v>60000</v>
      </c>
      <c r="K11" s="27" t="n">
        <v>0</v>
      </c>
      <c r="L11" s="27" t="n">
        <v>0</v>
      </c>
      <c r="M11" s="27" t="n">
        <v>0</v>
      </c>
      <c r="N11" s="27" t="n">
        <v>1</v>
      </c>
      <c r="O11" s="27" t="n">
        <v>0</v>
      </c>
      <c r="P11" s="27" t="n">
        <v>0</v>
      </c>
      <c r="Q11" s="27" t="n">
        <v>0</v>
      </c>
      <c r="R11" s="27" t="n">
        <v>0</v>
      </c>
      <c r="S11" s="27" t="n">
        <v>0</v>
      </c>
      <c r="T11" s="27" t="n">
        <v>0</v>
      </c>
      <c r="U11" s="27" t="n">
        <v>1</v>
      </c>
      <c r="V11" s="27" t="n">
        <v>0</v>
      </c>
      <c r="W11" s="27" t="n">
        <v>0</v>
      </c>
      <c r="X11" s="27" t="n">
        <v>0</v>
      </c>
      <c r="Y11" s="27" t="n">
        <v>0</v>
      </c>
      <c r="Z11" s="27" t="n">
        <v>0</v>
      </c>
      <c r="AA11" s="27" t="n">
        <v>0</v>
      </c>
      <c r="AB11" s="27" t="n">
        <v>0</v>
      </c>
      <c r="AC11" s="27" t="n">
        <v>0</v>
      </c>
      <c r="AD11" s="27" t="n">
        <v>1</v>
      </c>
      <c r="AE11" s="27" t="n">
        <v>0</v>
      </c>
      <c r="AF11" s="27" t="n">
        <v>0</v>
      </c>
      <c r="AG11" s="27" t="n">
        <v>0</v>
      </c>
      <c r="AH11" s="27" t="n">
        <v>0</v>
      </c>
      <c r="AI11" s="27" t="n">
        <v>0</v>
      </c>
      <c r="AJ11" s="27" t="n">
        <v>0</v>
      </c>
      <c r="AK11" s="27" t="n">
        <v>0</v>
      </c>
      <c r="AL11" s="27" t="n">
        <v>0</v>
      </c>
      <c r="AM11" s="27" t="n">
        <v>0</v>
      </c>
      <c r="AN11" s="27" t="n">
        <v>0</v>
      </c>
      <c r="AO11" s="14" t="s">
        <v>187</v>
      </c>
      <c r="AP11" s="14" t="s">
        <v>188</v>
      </c>
      <c r="AQ11" s="21" t="s">
        <v>228</v>
      </c>
    </row>
    <row r="12" customFormat="false" ht="23.25" hidden="false" customHeight="true" outlineLevel="0" collapsed="false">
      <c r="A12" s="14" t="s">
        <v>229</v>
      </c>
      <c r="B12" s="21" t="s">
        <v>230</v>
      </c>
      <c r="C12" s="21" t="s">
        <v>231</v>
      </c>
      <c r="D12" s="14" t="s">
        <v>193</v>
      </c>
      <c r="E12" s="21" t="s">
        <v>232</v>
      </c>
      <c r="F12" s="24" t="n">
        <v>200000</v>
      </c>
      <c r="G12" s="24" t="n">
        <v>90000</v>
      </c>
      <c r="H12" s="25" t="n">
        <f aca="false">F12+G12</f>
        <v>290000</v>
      </c>
      <c r="I12" s="26" t="n">
        <f aca="false">SUM(K12:AN12)</f>
        <v>5</v>
      </c>
      <c r="J12" s="25" t="n">
        <f aca="false">IF(I12=0,0,H12/I12)</f>
        <v>58000</v>
      </c>
      <c r="K12" s="27" t="n">
        <v>0</v>
      </c>
      <c r="L12" s="27" t="n">
        <v>0</v>
      </c>
      <c r="M12" s="27" t="n">
        <v>0</v>
      </c>
      <c r="N12" s="27" t="n">
        <v>1</v>
      </c>
      <c r="O12" s="27" t="n">
        <v>1</v>
      </c>
      <c r="P12" s="27" t="n">
        <v>0</v>
      </c>
      <c r="Q12" s="27" t="n">
        <v>0</v>
      </c>
      <c r="R12" s="27" t="n">
        <v>0</v>
      </c>
      <c r="S12" s="27" t="n">
        <v>0</v>
      </c>
      <c r="T12" s="27" t="n">
        <v>1</v>
      </c>
      <c r="U12" s="27" t="n">
        <v>0</v>
      </c>
      <c r="V12" s="27" t="n">
        <v>0</v>
      </c>
      <c r="W12" s="27" t="n">
        <v>0</v>
      </c>
      <c r="X12" s="27" t="n">
        <v>0</v>
      </c>
      <c r="Y12" s="27" t="n">
        <v>0</v>
      </c>
      <c r="Z12" s="27" t="n">
        <v>0</v>
      </c>
      <c r="AA12" s="27" t="n">
        <v>0</v>
      </c>
      <c r="AB12" s="27" t="n">
        <v>0</v>
      </c>
      <c r="AC12" s="27" t="n">
        <v>0</v>
      </c>
      <c r="AD12" s="27" t="n">
        <v>0</v>
      </c>
      <c r="AE12" s="27" t="n">
        <v>1</v>
      </c>
      <c r="AF12" s="27" t="n">
        <v>0</v>
      </c>
      <c r="AG12" s="27" t="n">
        <v>0</v>
      </c>
      <c r="AH12" s="27" t="n">
        <v>0</v>
      </c>
      <c r="AI12" s="27" t="n">
        <v>0</v>
      </c>
      <c r="AJ12" s="27" t="n">
        <v>1</v>
      </c>
      <c r="AK12" s="27" t="n">
        <v>0</v>
      </c>
      <c r="AL12" s="27" t="n">
        <v>0</v>
      </c>
      <c r="AM12" s="27" t="n">
        <v>0</v>
      </c>
      <c r="AN12" s="27" t="n">
        <v>0</v>
      </c>
      <c r="AO12" s="14" t="s">
        <v>222</v>
      </c>
      <c r="AP12" s="14" t="s">
        <v>196</v>
      </c>
      <c r="AQ12" s="21" t="s">
        <v>233</v>
      </c>
    </row>
    <row r="13" customFormat="false" ht="23.25" hidden="false" customHeight="true" outlineLevel="0" collapsed="false">
      <c r="A13" s="14" t="s">
        <v>234</v>
      </c>
      <c r="B13" s="21" t="s">
        <v>235</v>
      </c>
      <c r="C13" s="21" t="s">
        <v>236</v>
      </c>
      <c r="D13" s="14" t="s">
        <v>193</v>
      </c>
      <c r="E13" s="21" t="s">
        <v>237</v>
      </c>
      <c r="F13" s="24" t="n">
        <v>90000</v>
      </c>
      <c r="G13" s="24" t="n">
        <v>70000</v>
      </c>
      <c r="H13" s="25" t="n">
        <f aca="false">F13+G13</f>
        <v>160000</v>
      </c>
      <c r="I13" s="26" t="n">
        <f aca="false">SUM(K13:AN13)</f>
        <v>2</v>
      </c>
      <c r="J13" s="25" t="n">
        <f aca="false">IF(I13=0,0,H13/I13)</f>
        <v>80000</v>
      </c>
      <c r="K13" s="27" t="n">
        <v>0</v>
      </c>
      <c r="L13" s="27" t="n">
        <v>0</v>
      </c>
      <c r="M13" s="27" t="n">
        <v>0</v>
      </c>
      <c r="N13" s="27" t="n">
        <v>0</v>
      </c>
      <c r="O13" s="27" t="n">
        <v>0</v>
      </c>
      <c r="P13" s="27" t="n">
        <v>0</v>
      </c>
      <c r="Q13" s="27" t="n">
        <v>0</v>
      </c>
      <c r="R13" s="27" t="n">
        <v>0</v>
      </c>
      <c r="S13" s="27" t="n">
        <v>1</v>
      </c>
      <c r="T13" s="27" t="n">
        <v>0</v>
      </c>
      <c r="U13" s="27" t="n">
        <v>0</v>
      </c>
      <c r="V13" s="27" t="n">
        <v>0</v>
      </c>
      <c r="W13" s="27" t="n">
        <v>0</v>
      </c>
      <c r="X13" s="27" t="n">
        <v>0</v>
      </c>
      <c r="Y13" s="27" t="n">
        <v>0</v>
      </c>
      <c r="Z13" s="27" t="n">
        <v>0</v>
      </c>
      <c r="AA13" s="27" t="n">
        <v>0</v>
      </c>
      <c r="AB13" s="27" t="n">
        <v>0</v>
      </c>
      <c r="AC13" s="27" t="n">
        <v>1</v>
      </c>
      <c r="AD13" s="27" t="n">
        <v>0</v>
      </c>
      <c r="AE13" s="27" t="n">
        <v>0</v>
      </c>
      <c r="AF13" s="27" t="n">
        <v>0</v>
      </c>
      <c r="AG13" s="27" t="n">
        <v>0</v>
      </c>
      <c r="AH13" s="27" t="n">
        <v>0</v>
      </c>
      <c r="AI13" s="27" t="n">
        <v>0</v>
      </c>
      <c r="AJ13" s="27" t="n">
        <v>0</v>
      </c>
      <c r="AK13" s="27" t="n">
        <v>0</v>
      </c>
      <c r="AL13" s="27" t="n">
        <v>0</v>
      </c>
      <c r="AM13" s="27" t="n">
        <v>0</v>
      </c>
      <c r="AN13" s="27" t="n">
        <v>0</v>
      </c>
      <c r="AO13" s="14" t="s">
        <v>195</v>
      </c>
      <c r="AP13" s="14" t="s">
        <v>196</v>
      </c>
      <c r="AQ13" s="21" t="s">
        <v>238</v>
      </c>
    </row>
    <row r="14" customFormat="false" ht="23.25" hidden="false" customHeight="true" outlineLevel="0" collapsed="false">
      <c r="A14" s="14" t="s">
        <v>239</v>
      </c>
      <c r="B14" s="21" t="s">
        <v>240</v>
      </c>
      <c r="C14" s="21" t="s">
        <v>241</v>
      </c>
      <c r="D14" s="14" t="s">
        <v>185</v>
      </c>
      <c r="E14" s="21" t="s">
        <v>242</v>
      </c>
      <c r="F14" s="24" t="n">
        <v>120000</v>
      </c>
      <c r="G14" s="24" t="n">
        <v>80000</v>
      </c>
      <c r="H14" s="25" t="n">
        <f aca="false">F14+G14</f>
        <v>200000</v>
      </c>
      <c r="I14" s="26" t="n">
        <f aca="false">SUM(K14:AN14)</f>
        <v>9</v>
      </c>
      <c r="J14" s="25" t="n">
        <f aca="false">IF(I14=0,0,H14/I14)</f>
        <v>22222.2222222222</v>
      </c>
      <c r="K14" s="27" t="n">
        <v>0</v>
      </c>
      <c r="L14" s="27" t="n">
        <v>1</v>
      </c>
      <c r="M14" s="27" t="n">
        <v>1</v>
      </c>
      <c r="N14" s="27" t="n">
        <v>0</v>
      </c>
      <c r="O14" s="27" t="n">
        <v>0</v>
      </c>
      <c r="P14" s="27" t="n">
        <v>0</v>
      </c>
      <c r="Q14" s="27" t="n">
        <v>0</v>
      </c>
      <c r="R14" s="27" t="n">
        <v>1</v>
      </c>
      <c r="S14" s="27" t="n">
        <v>1</v>
      </c>
      <c r="T14" s="27" t="n">
        <v>1</v>
      </c>
      <c r="U14" s="27" t="n">
        <v>0</v>
      </c>
      <c r="V14" s="27" t="n">
        <v>0</v>
      </c>
      <c r="W14" s="27" t="n">
        <v>1</v>
      </c>
      <c r="X14" s="27" t="n">
        <v>0</v>
      </c>
      <c r="Y14" s="27" t="n">
        <v>0</v>
      </c>
      <c r="Z14" s="27" t="n">
        <v>1</v>
      </c>
      <c r="AA14" s="27" t="n">
        <v>0</v>
      </c>
      <c r="AB14" s="27" t="n">
        <v>0</v>
      </c>
      <c r="AC14" s="27" t="n">
        <v>1</v>
      </c>
      <c r="AD14" s="27" t="n">
        <v>0</v>
      </c>
      <c r="AE14" s="27" t="n">
        <v>0</v>
      </c>
      <c r="AF14" s="27" t="n">
        <v>0</v>
      </c>
      <c r="AG14" s="27" t="n">
        <v>0</v>
      </c>
      <c r="AH14" s="27" t="n">
        <v>0</v>
      </c>
      <c r="AI14" s="27" t="n">
        <v>0</v>
      </c>
      <c r="AJ14" s="27" t="n">
        <v>0</v>
      </c>
      <c r="AK14" s="27" t="n">
        <v>0</v>
      </c>
      <c r="AL14" s="27" t="n">
        <v>1</v>
      </c>
      <c r="AM14" s="27" t="n">
        <v>0</v>
      </c>
      <c r="AN14" s="27" t="n">
        <v>0</v>
      </c>
      <c r="AO14" s="14" t="s">
        <v>187</v>
      </c>
      <c r="AP14" s="14" t="s">
        <v>188</v>
      </c>
      <c r="AQ14" s="21" t="s">
        <v>243</v>
      </c>
    </row>
    <row r="15" customFormat="false" ht="23.25" hidden="false" customHeight="true" outlineLevel="0" collapsed="false">
      <c r="A15" s="14" t="s">
        <v>244</v>
      </c>
      <c r="B15" s="21" t="s">
        <v>245</v>
      </c>
      <c r="C15" s="21" t="s">
        <v>246</v>
      </c>
      <c r="D15" s="14" t="s">
        <v>185</v>
      </c>
      <c r="E15" s="21" t="s">
        <v>237</v>
      </c>
      <c r="F15" s="24" t="n">
        <v>70000</v>
      </c>
      <c r="G15" s="24" t="n">
        <v>90000</v>
      </c>
      <c r="H15" s="25" t="n">
        <f aca="false">F15+G15</f>
        <v>160000</v>
      </c>
      <c r="I15" s="26" t="n">
        <f aca="false">SUM(K15:AN15)</f>
        <v>10</v>
      </c>
      <c r="J15" s="25" t="n">
        <f aca="false">IF(I15=0,0,H15/I15)</f>
        <v>16000</v>
      </c>
      <c r="K15" s="27" t="n">
        <v>1</v>
      </c>
      <c r="L15" s="27" t="n">
        <v>1</v>
      </c>
      <c r="M15" s="27" t="n">
        <v>0</v>
      </c>
      <c r="N15" s="27" t="n">
        <v>0</v>
      </c>
      <c r="O15" s="27" t="n">
        <v>1</v>
      </c>
      <c r="P15" s="27" t="n">
        <v>0</v>
      </c>
      <c r="Q15" s="27" t="n">
        <v>0</v>
      </c>
      <c r="R15" s="27" t="n">
        <v>1</v>
      </c>
      <c r="S15" s="27" t="n">
        <v>0</v>
      </c>
      <c r="T15" s="27" t="n">
        <v>0</v>
      </c>
      <c r="U15" s="27" t="n">
        <v>0</v>
      </c>
      <c r="V15" s="27" t="n">
        <v>0</v>
      </c>
      <c r="W15" s="27" t="n">
        <v>0</v>
      </c>
      <c r="X15" s="27" t="n">
        <v>1</v>
      </c>
      <c r="Y15" s="27" t="n">
        <v>0</v>
      </c>
      <c r="Z15" s="27" t="n">
        <v>0</v>
      </c>
      <c r="AA15" s="27" t="n">
        <v>0</v>
      </c>
      <c r="AB15" s="27" t="n">
        <v>0</v>
      </c>
      <c r="AC15" s="27" t="n">
        <v>0</v>
      </c>
      <c r="AD15" s="27" t="n">
        <v>0</v>
      </c>
      <c r="AE15" s="27" t="n">
        <v>1</v>
      </c>
      <c r="AF15" s="27" t="n">
        <v>0</v>
      </c>
      <c r="AG15" s="27" t="n">
        <v>0</v>
      </c>
      <c r="AH15" s="27" t="n">
        <v>1</v>
      </c>
      <c r="AI15" s="27" t="n">
        <v>0</v>
      </c>
      <c r="AJ15" s="27" t="n">
        <v>1</v>
      </c>
      <c r="AK15" s="27" t="n">
        <v>1</v>
      </c>
      <c r="AL15" s="27" t="n">
        <v>0</v>
      </c>
      <c r="AM15" s="27" t="n">
        <v>0</v>
      </c>
      <c r="AN15" s="27" t="n">
        <v>1</v>
      </c>
      <c r="AO15" s="14" t="s">
        <v>187</v>
      </c>
      <c r="AP15" s="14" t="s">
        <v>222</v>
      </c>
      <c r="AQ15" s="21" t="s">
        <v>247</v>
      </c>
    </row>
    <row r="16" customFormat="false" ht="23.25" hidden="false" customHeight="true" outlineLevel="0" collapsed="false">
      <c r="A16" s="14" t="s">
        <v>248</v>
      </c>
      <c r="B16" s="21" t="s">
        <v>249</v>
      </c>
      <c r="C16" s="21" t="s">
        <v>250</v>
      </c>
      <c r="D16" s="14" t="s">
        <v>214</v>
      </c>
      <c r="E16" s="21" t="s">
        <v>251</v>
      </c>
      <c r="F16" s="24" t="n">
        <v>100000</v>
      </c>
      <c r="G16" s="24" t="n">
        <v>40000</v>
      </c>
      <c r="H16" s="25" t="n">
        <f aca="false">F16+G16</f>
        <v>140000</v>
      </c>
      <c r="I16" s="26" t="n">
        <f aca="false">SUM(K16:AN16)</f>
        <v>2</v>
      </c>
      <c r="J16" s="25" t="n">
        <f aca="false">IF(I16=0,0,H16/I16)</f>
        <v>70000</v>
      </c>
      <c r="K16" s="27" t="n">
        <v>0</v>
      </c>
      <c r="L16" s="27" t="n">
        <v>0</v>
      </c>
      <c r="M16" s="27" t="n">
        <v>0</v>
      </c>
      <c r="N16" s="27" t="n">
        <v>0</v>
      </c>
      <c r="O16" s="27" t="n">
        <v>0</v>
      </c>
      <c r="P16" s="27" t="n">
        <v>0</v>
      </c>
      <c r="Q16" s="27" t="n">
        <v>0</v>
      </c>
      <c r="R16" s="27" t="n">
        <v>0</v>
      </c>
      <c r="S16" s="27" t="n">
        <v>0</v>
      </c>
      <c r="T16" s="27" t="n">
        <v>1</v>
      </c>
      <c r="U16" s="27" t="n">
        <v>0</v>
      </c>
      <c r="V16" s="27" t="n">
        <v>0</v>
      </c>
      <c r="W16" s="27" t="n">
        <v>0</v>
      </c>
      <c r="X16" s="27" t="n">
        <v>0</v>
      </c>
      <c r="Y16" s="27" t="n">
        <v>0</v>
      </c>
      <c r="Z16" s="27" t="n">
        <v>0</v>
      </c>
      <c r="AA16" s="27" t="n">
        <v>0</v>
      </c>
      <c r="AB16" s="27" t="n">
        <v>0</v>
      </c>
      <c r="AC16" s="27" t="n">
        <v>0</v>
      </c>
      <c r="AD16" s="27" t="n">
        <v>0</v>
      </c>
      <c r="AE16" s="27" t="n">
        <v>0</v>
      </c>
      <c r="AF16" s="27" t="n">
        <v>0</v>
      </c>
      <c r="AG16" s="27" t="n">
        <v>0</v>
      </c>
      <c r="AH16" s="27" t="n">
        <v>0</v>
      </c>
      <c r="AI16" s="27" t="n">
        <v>0</v>
      </c>
      <c r="AJ16" s="27" t="n">
        <v>0</v>
      </c>
      <c r="AK16" s="27" t="n">
        <v>0</v>
      </c>
      <c r="AL16" s="27" t="n">
        <v>0</v>
      </c>
      <c r="AM16" s="27" t="n">
        <v>1</v>
      </c>
      <c r="AN16" s="27" t="n">
        <v>0</v>
      </c>
      <c r="AO16" s="14" t="s">
        <v>188</v>
      </c>
      <c r="AP16" s="14" t="s">
        <v>252</v>
      </c>
      <c r="AQ16" s="21" t="s">
        <v>253</v>
      </c>
    </row>
    <row r="17" customFormat="false" ht="23.25" hidden="false" customHeight="true" outlineLevel="0" collapsed="false">
      <c r="A17" s="14" t="s">
        <v>254</v>
      </c>
      <c r="B17" s="21" t="s">
        <v>255</v>
      </c>
      <c r="C17" s="21" t="s">
        <v>256</v>
      </c>
      <c r="D17" s="14" t="s">
        <v>193</v>
      </c>
      <c r="E17" s="21" t="s">
        <v>186</v>
      </c>
      <c r="F17" s="24" t="n">
        <v>140000</v>
      </c>
      <c r="G17" s="24" t="n">
        <v>70000</v>
      </c>
      <c r="H17" s="25" t="n">
        <f aca="false">F17+G17</f>
        <v>210000</v>
      </c>
      <c r="I17" s="26" t="n">
        <f aca="false">SUM(K17:AN17)</f>
        <v>2</v>
      </c>
      <c r="J17" s="25" t="n">
        <f aca="false">IF(I17=0,0,H17/I17)</f>
        <v>105000</v>
      </c>
      <c r="K17" s="27" t="n">
        <v>0</v>
      </c>
      <c r="L17" s="27" t="n">
        <v>0</v>
      </c>
      <c r="M17" s="27" t="n">
        <v>0</v>
      </c>
      <c r="N17" s="27" t="n">
        <v>0</v>
      </c>
      <c r="O17" s="27" t="n">
        <v>0</v>
      </c>
      <c r="P17" s="27" t="n">
        <v>0</v>
      </c>
      <c r="Q17" s="27" t="n">
        <v>0</v>
      </c>
      <c r="R17" s="27" t="n">
        <v>0</v>
      </c>
      <c r="S17" s="27" t="n">
        <v>0</v>
      </c>
      <c r="T17" s="27" t="n">
        <v>0</v>
      </c>
      <c r="U17" s="27" t="n">
        <v>1</v>
      </c>
      <c r="V17" s="27" t="n">
        <v>0</v>
      </c>
      <c r="W17" s="27" t="n">
        <v>0</v>
      </c>
      <c r="X17" s="27" t="n">
        <v>0</v>
      </c>
      <c r="Y17" s="27" t="n">
        <v>0</v>
      </c>
      <c r="Z17" s="27" t="n">
        <v>0</v>
      </c>
      <c r="AA17" s="27" t="n">
        <v>0</v>
      </c>
      <c r="AB17" s="27" t="n">
        <v>1</v>
      </c>
      <c r="AC17" s="27" t="n">
        <v>0</v>
      </c>
      <c r="AD17" s="27" t="n">
        <v>0</v>
      </c>
      <c r="AE17" s="27" t="n">
        <v>0</v>
      </c>
      <c r="AF17" s="27" t="n">
        <v>0</v>
      </c>
      <c r="AG17" s="27" t="n">
        <v>0</v>
      </c>
      <c r="AH17" s="27" t="n">
        <v>0</v>
      </c>
      <c r="AI17" s="27" t="n">
        <v>0</v>
      </c>
      <c r="AJ17" s="27" t="n">
        <v>0</v>
      </c>
      <c r="AK17" s="27" t="n">
        <v>0</v>
      </c>
      <c r="AL17" s="27" t="n">
        <v>0</v>
      </c>
      <c r="AM17" s="27" t="n">
        <v>0</v>
      </c>
      <c r="AN17" s="27" t="n">
        <v>0</v>
      </c>
      <c r="AO17" s="14" t="s">
        <v>222</v>
      </c>
      <c r="AP17" s="14" t="s">
        <v>206</v>
      </c>
      <c r="AQ17" s="21" t="s">
        <v>257</v>
      </c>
    </row>
    <row r="18" customFormat="false" ht="23.25" hidden="false" customHeight="true" outlineLevel="0" collapsed="false">
      <c r="A18" s="14" t="s">
        <v>258</v>
      </c>
      <c r="B18" s="21" t="s">
        <v>259</v>
      </c>
      <c r="C18" s="21" t="s">
        <v>260</v>
      </c>
      <c r="D18" s="14" t="s">
        <v>185</v>
      </c>
      <c r="E18" s="21" t="s">
        <v>215</v>
      </c>
      <c r="F18" s="24" t="n">
        <v>40000</v>
      </c>
      <c r="G18" s="24" t="n">
        <v>60000</v>
      </c>
      <c r="H18" s="25" t="n">
        <f aca="false">F18+G18</f>
        <v>100000</v>
      </c>
      <c r="I18" s="26" t="n">
        <f aca="false">SUM(K18:AN18)</f>
        <v>2</v>
      </c>
      <c r="J18" s="25" t="n">
        <f aca="false">IF(I18=0,0,H18/I18)</f>
        <v>50000</v>
      </c>
      <c r="K18" s="27" t="n">
        <v>0</v>
      </c>
      <c r="L18" s="27" t="n">
        <v>0</v>
      </c>
      <c r="M18" s="27" t="n">
        <v>0</v>
      </c>
      <c r="N18" s="27" t="n">
        <v>0</v>
      </c>
      <c r="O18" s="27" t="n">
        <v>0</v>
      </c>
      <c r="P18" s="27" t="n">
        <v>0</v>
      </c>
      <c r="Q18" s="27" t="n">
        <v>0</v>
      </c>
      <c r="R18" s="27" t="n">
        <v>0</v>
      </c>
      <c r="S18" s="27" t="n">
        <v>0</v>
      </c>
      <c r="T18" s="27" t="n">
        <v>0</v>
      </c>
      <c r="U18" s="27" t="n">
        <v>0</v>
      </c>
      <c r="V18" s="27" t="n">
        <v>0</v>
      </c>
      <c r="W18" s="27" t="n">
        <v>1</v>
      </c>
      <c r="X18" s="27" t="n">
        <v>0</v>
      </c>
      <c r="Y18" s="27" t="n">
        <v>0</v>
      </c>
      <c r="Z18" s="27" t="n">
        <v>0</v>
      </c>
      <c r="AA18" s="27" t="n">
        <v>0</v>
      </c>
      <c r="AB18" s="27" t="n">
        <v>1</v>
      </c>
      <c r="AC18" s="27" t="n">
        <v>0</v>
      </c>
      <c r="AD18" s="27" t="n">
        <v>0</v>
      </c>
      <c r="AE18" s="27" t="n">
        <v>0</v>
      </c>
      <c r="AF18" s="27" t="n">
        <v>0</v>
      </c>
      <c r="AG18" s="27" t="n">
        <v>0</v>
      </c>
      <c r="AH18" s="27" t="n">
        <v>0</v>
      </c>
      <c r="AI18" s="27" t="n">
        <v>0</v>
      </c>
      <c r="AJ18" s="27" t="n">
        <v>0</v>
      </c>
      <c r="AK18" s="27" t="n">
        <v>0</v>
      </c>
      <c r="AL18" s="27" t="n">
        <v>0</v>
      </c>
      <c r="AM18" s="27" t="n">
        <v>0</v>
      </c>
      <c r="AN18" s="27" t="n">
        <v>0</v>
      </c>
      <c r="AO18" s="14" t="s">
        <v>210</v>
      </c>
      <c r="AP18" s="14" t="s">
        <v>261</v>
      </c>
      <c r="AQ18" s="21" t="s">
        <v>262</v>
      </c>
    </row>
    <row r="19" customFormat="false" ht="23.25" hidden="false" customHeight="true" outlineLevel="0" collapsed="false">
      <c r="A19" s="14" t="s">
        <v>263</v>
      </c>
      <c r="B19" s="21" t="s">
        <v>264</v>
      </c>
      <c r="C19" s="21" t="s">
        <v>265</v>
      </c>
      <c r="D19" s="14" t="s">
        <v>185</v>
      </c>
      <c r="E19" s="21" t="s">
        <v>186</v>
      </c>
      <c r="F19" s="24" t="n">
        <v>30000</v>
      </c>
      <c r="G19" s="24" t="n">
        <v>15000</v>
      </c>
      <c r="H19" s="25" t="n">
        <f aca="false">F19+G19</f>
        <v>45000</v>
      </c>
      <c r="I19" s="26" t="n">
        <f aca="false">SUM(K19:AN19)</f>
        <v>2</v>
      </c>
      <c r="J19" s="25" t="n">
        <f aca="false">IF(I19=0,0,H19/I19)</f>
        <v>22500</v>
      </c>
      <c r="K19" s="27" t="n">
        <v>0</v>
      </c>
      <c r="L19" s="27" t="n">
        <v>0</v>
      </c>
      <c r="M19" s="27" t="n">
        <v>0</v>
      </c>
      <c r="N19" s="27" t="n">
        <v>0</v>
      </c>
      <c r="O19" s="27" t="n">
        <v>0</v>
      </c>
      <c r="P19" s="27" t="n">
        <v>0</v>
      </c>
      <c r="Q19" s="27" t="n">
        <v>0</v>
      </c>
      <c r="R19" s="27" t="n">
        <v>0</v>
      </c>
      <c r="S19" s="27" t="n">
        <v>0</v>
      </c>
      <c r="T19" s="27" t="n">
        <v>0</v>
      </c>
      <c r="U19" s="27" t="n">
        <v>0</v>
      </c>
      <c r="V19" s="27" t="n">
        <v>0</v>
      </c>
      <c r="W19" s="27" t="n">
        <v>0</v>
      </c>
      <c r="X19" s="27" t="n">
        <v>1</v>
      </c>
      <c r="Y19" s="27" t="n">
        <v>0</v>
      </c>
      <c r="Z19" s="27" t="n">
        <v>0</v>
      </c>
      <c r="AA19" s="27" t="n">
        <v>0</v>
      </c>
      <c r="AB19" s="27" t="n">
        <v>0</v>
      </c>
      <c r="AC19" s="27" t="n">
        <v>0</v>
      </c>
      <c r="AD19" s="27" t="n">
        <v>0</v>
      </c>
      <c r="AE19" s="27" t="n">
        <v>0</v>
      </c>
      <c r="AF19" s="27" t="n">
        <v>0</v>
      </c>
      <c r="AG19" s="27" t="n">
        <v>0</v>
      </c>
      <c r="AH19" s="27" t="n">
        <v>0</v>
      </c>
      <c r="AI19" s="27" t="n">
        <v>0</v>
      </c>
      <c r="AJ19" s="27" t="n">
        <v>0</v>
      </c>
      <c r="AK19" s="27" t="n">
        <v>0</v>
      </c>
      <c r="AL19" s="27" t="n">
        <v>0</v>
      </c>
      <c r="AM19" s="27" t="n">
        <v>0</v>
      </c>
      <c r="AN19" s="27" t="n">
        <v>1</v>
      </c>
      <c r="AO19" s="14" t="s">
        <v>187</v>
      </c>
      <c r="AP19" s="14" t="s">
        <v>222</v>
      </c>
      <c r="AQ19" s="21" t="s">
        <v>266</v>
      </c>
    </row>
    <row r="20" customFormat="false" ht="23.25" hidden="false" customHeight="true" outlineLevel="0" collapsed="false">
      <c r="A20" s="14" t="s">
        <v>267</v>
      </c>
      <c r="B20" s="21" t="s">
        <v>268</v>
      </c>
      <c r="C20" s="21" t="s">
        <v>269</v>
      </c>
      <c r="D20" s="14" t="s">
        <v>193</v>
      </c>
      <c r="E20" s="21" t="s">
        <v>186</v>
      </c>
      <c r="F20" s="24" t="n">
        <v>80000</v>
      </c>
      <c r="G20" s="24" t="n">
        <v>50000</v>
      </c>
      <c r="H20" s="25" t="n">
        <f aca="false">F20+G20</f>
        <v>130000</v>
      </c>
      <c r="I20" s="26" t="n">
        <f aca="false">SUM(K20:AN20)</f>
        <v>3</v>
      </c>
      <c r="J20" s="25" t="n">
        <f aca="false">IF(I20=0,0,H20/I20)</f>
        <v>43333.3333333333</v>
      </c>
      <c r="K20" s="27" t="n">
        <v>0</v>
      </c>
      <c r="L20" s="27" t="n">
        <v>0</v>
      </c>
      <c r="M20" s="27" t="n">
        <v>0</v>
      </c>
      <c r="N20" s="27" t="n">
        <v>0</v>
      </c>
      <c r="O20" s="27" t="n">
        <v>0</v>
      </c>
      <c r="P20" s="27" t="n">
        <v>0</v>
      </c>
      <c r="Q20" s="27" t="n">
        <v>0</v>
      </c>
      <c r="R20" s="27" t="n">
        <v>0</v>
      </c>
      <c r="S20" s="27" t="n">
        <v>0</v>
      </c>
      <c r="T20" s="27" t="n">
        <v>0</v>
      </c>
      <c r="U20" s="27" t="n">
        <v>0</v>
      </c>
      <c r="V20" s="27" t="n">
        <v>0</v>
      </c>
      <c r="W20" s="27" t="n">
        <v>0</v>
      </c>
      <c r="X20" s="27" t="n">
        <v>0</v>
      </c>
      <c r="Y20" s="27" t="n">
        <v>1</v>
      </c>
      <c r="Z20" s="27" t="n">
        <v>0</v>
      </c>
      <c r="AA20" s="27" t="n">
        <v>1</v>
      </c>
      <c r="AB20" s="27" t="n">
        <v>0</v>
      </c>
      <c r="AC20" s="27" t="n">
        <v>0</v>
      </c>
      <c r="AD20" s="27" t="n">
        <v>0</v>
      </c>
      <c r="AE20" s="27" t="n">
        <v>0</v>
      </c>
      <c r="AF20" s="27" t="n">
        <v>0</v>
      </c>
      <c r="AG20" s="27" t="n">
        <v>0</v>
      </c>
      <c r="AH20" s="27" t="n">
        <v>0</v>
      </c>
      <c r="AI20" s="27" t="n">
        <v>1</v>
      </c>
      <c r="AJ20" s="27" t="n">
        <v>0</v>
      </c>
      <c r="AK20" s="27" t="n">
        <v>0</v>
      </c>
      <c r="AL20" s="27" t="n">
        <v>0</v>
      </c>
      <c r="AM20" s="27" t="n">
        <v>0</v>
      </c>
      <c r="AN20" s="27" t="n">
        <v>0</v>
      </c>
      <c r="AO20" s="14" t="s">
        <v>195</v>
      </c>
      <c r="AP20" s="14" t="s">
        <v>206</v>
      </c>
      <c r="AQ20" s="21" t="s">
        <v>270</v>
      </c>
    </row>
    <row r="21" customFormat="false" ht="15" hidden="false" customHeight="true" outlineLevel="0" collapsed="false">
      <c r="A21" s="14" t="s">
        <v>271</v>
      </c>
      <c r="B21" s="21" t="s">
        <v>272</v>
      </c>
      <c r="C21" s="21" t="s">
        <v>204</v>
      </c>
      <c r="D21" s="14" t="s">
        <v>214</v>
      </c>
      <c r="E21" s="21" t="s">
        <v>273</v>
      </c>
      <c r="F21" s="24" t="n">
        <v>350000</v>
      </c>
      <c r="G21" s="24" t="n">
        <v>120000</v>
      </c>
      <c r="H21" s="25" t="n">
        <f aca="false">F21+G21</f>
        <v>470000</v>
      </c>
      <c r="I21" s="26" t="n">
        <f aca="false">SUM(K21:AN21)</f>
        <v>1</v>
      </c>
      <c r="J21" s="25" t="n">
        <f aca="false">IF(I21=0,0,H21/I21)</f>
        <v>470000</v>
      </c>
      <c r="K21" s="27" t="n">
        <v>0</v>
      </c>
      <c r="L21" s="27" t="n">
        <v>0</v>
      </c>
      <c r="M21" s="27" t="n">
        <v>0</v>
      </c>
      <c r="N21" s="27" t="n">
        <v>0</v>
      </c>
      <c r="O21" s="27" t="n">
        <v>0</v>
      </c>
      <c r="P21" s="27" t="n">
        <v>0</v>
      </c>
      <c r="Q21" s="27" t="n">
        <v>0</v>
      </c>
      <c r="R21" s="27" t="n">
        <v>0</v>
      </c>
      <c r="S21" s="27" t="n">
        <v>0</v>
      </c>
      <c r="T21" s="27" t="n">
        <v>0</v>
      </c>
      <c r="U21" s="27" t="n">
        <v>0</v>
      </c>
      <c r="V21" s="27" t="n">
        <v>0</v>
      </c>
      <c r="W21" s="27" t="n">
        <v>0</v>
      </c>
      <c r="X21" s="27" t="n">
        <v>0</v>
      </c>
      <c r="Y21" s="27" t="n">
        <v>0</v>
      </c>
      <c r="Z21" s="27" t="n">
        <v>1</v>
      </c>
      <c r="AA21" s="27" t="n">
        <v>0</v>
      </c>
      <c r="AB21" s="27" t="n">
        <v>0</v>
      </c>
      <c r="AC21" s="27" t="n">
        <v>0</v>
      </c>
      <c r="AD21" s="27" t="n">
        <v>0</v>
      </c>
      <c r="AE21" s="27" t="n">
        <v>0</v>
      </c>
      <c r="AF21" s="27" t="n">
        <v>0</v>
      </c>
      <c r="AG21" s="27" t="n">
        <v>0</v>
      </c>
      <c r="AH21" s="27" t="n">
        <v>0</v>
      </c>
      <c r="AI21" s="27" t="n">
        <v>0</v>
      </c>
      <c r="AJ21" s="27" t="n">
        <v>0</v>
      </c>
      <c r="AK21" s="27" t="n">
        <v>0</v>
      </c>
      <c r="AL21" s="27" t="n">
        <v>0</v>
      </c>
      <c r="AM21" s="27" t="n">
        <v>0</v>
      </c>
      <c r="AN21" s="27" t="n">
        <v>0</v>
      </c>
      <c r="AO21" s="14" t="s">
        <v>188</v>
      </c>
      <c r="AP21" s="14" t="s">
        <v>274</v>
      </c>
      <c r="AQ21" s="21" t="s">
        <v>275</v>
      </c>
    </row>
    <row r="22" customFormat="false" ht="15" hidden="false" customHeight="true" outlineLevel="0" collapsed="false">
      <c r="A22" s="14" t="s">
        <v>276</v>
      </c>
      <c r="B22" s="21" t="s">
        <v>277</v>
      </c>
      <c r="C22" s="21" t="s">
        <v>231</v>
      </c>
      <c r="D22" s="14" t="s">
        <v>193</v>
      </c>
      <c r="E22" s="21" t="s">
        <v>237</v>
      </c>
      <c r="F22" s="24" t="n">
        <v>120000</v>
      </c>
      <c r="G22" s="24" t="n">
        <v>40000</v>
      </c>
      <c r="H22" s="25" t="n">
        <f aca="false">F22+G22</f>
        <v>160000</v>
      </c>
      <c r="I22" s="26" t="n">
        <f aca="false">SUM(K22:AN22)</f>
        <v>3</v>
      </c>
      <c r="J22" s="25" t="n">
        <f aca="false">IF(I22=0,0,H22/I22)</f>
        <v>53333.3333333333</v>
      </c>
      <c r="K22" s="27" t="n">
        <v>0</v>
      </c>
      <c r="L22" s="27" t="n">
        <v>0</v>
      </c>
      <c r="M22" s="27" t="n">
        <v>0</v>
      </c>
      <c r="N22" s="27" t="n">
        <v>0</v>
      </c>
      <c r="O22" s="27" t="n">
        <v>0</v>
      </c>
      <c r="P22" s="27" t="n">
        <v>0</v>
      </c>
      <c r="Q22" s="27" t="n">
        <v>0</v>
      </c>
      <c r="R22" s="27" t="n">
        <v>0</v>
      </c>
      <c r="S22" s="27" t="n">
        <v>0</v>
      </c>
      <c r="T22" s="27" t="n">
        <v>0</v>
      </c>
      <c r="U22" s="27" t="n">
        <v>0</v>
      </c>
      <c r="V22" s="27" t="n">
        <v>0</v>
      </c>
      <c r="W22" s="27" t="n">
        <v>0</v>
      </c>
      <c r="X22" s="27" t="n">
        <v>0</v>
      </c>
      <c r="Y22" s="27" t="n">
        <v>0</v>
      </c>
      <c r="Z22" s="27" t="n">
        <v>0</v>
      </c>
      <c r="AA22" s="27" t="n">
        <v>1</v>
      </c>
      <c r="AB22" s="27" t="n">
        <v>0</v>
      </c>
      <c r="AC22" s="27" t="n">
        <v>0</v>
      </c>
      <c r="AD22" s="27" t="n">
        <v>0</v>
      </c>
      <c r="AE22" s="27" t="n">
        <v>1</v>
      </c>
      <c r="AF22" s="27" t="n">
        <v>0</v>
      </c>
      <c r="AG22" s="27" t="n">
        <v>0</v>
      </c>
      <c r="AH22" s="27" t="n">
        <v>0</v>
      </c>
      <c r="AI22" s="27" t="n">
        <v>1</v>
      </c>
      <c r="AJ22" s="27" t="n">
        <v>0</v>
      </c>
      <c r="AK22" s="27" t="n">
        <v>0</v>
      </c>
      <c r="AL22" s="27" t="n">
        <v>0</v>
      </c>
      <c r="AM22" s="27" t="n">
        <v>0</v>
      </c>
      <c r="AN22" s="27" t="n">
        <v>0</v>
      </c>
      <c r="AO22" s="14" t="s">
        <v>222</v>
      </c>
      <c r="AP22" s="14" t="s">
        <v>196</v>
      </c>
      <c r="AQ22" s="21" t="s">
        <v>278</v>
      </c>
    </row>
    <row r="23" customFormat="false" ht="23.25" hidden="false" customHeight="true" outlineLevel="0" collapsed="false">
      <c r="A23" s="14" t="s">
        <v>279</v>
      </c>
      <c r="B23" s="21" t="s">
        <v>280</v>
      </c>
      <c r="C23" s="21" t="s">
        <v>281</v>
      </c>
      <c r="D23" s="14" t="s">
        <v>185</v>
      </c>
      <c r="E23" s="21" t="s">
        <v>282</v>
      </c>
      <c r="F23" s="24" t="n">
        <v>60000</v>
      </c>
      <c r="G23" s="24" t="n">
        <v>40000</v>
      </c>
      <c r="H23" s="25" t="n">
        <f aca="false">F23+G23</f>
        <v>100000</v>
      </c>
      <c r="I23" s="26" t="n">
        <f aca="false">SUM(K23:AN23)</f>
        <v>1</v>
      </c>
      <c r="J23" s="25" t="n">
        <f aca="false">IF(I23=0,0,H23/I23)</f>
        <v>100000</v>
      </c>
      <c r="K23" s="27" t="n">
        <v>0</v>
      </c>
      <c r="L23" s="27" t="n">
        <v>0</v>
      </c>
      <c r="M23" s="27" t="n">
        <v>0</v>
      </c>
      <c r="N23" s="27" t="n">
        <v>0</v>
      </c>
      <c r="O23" s="27" t="n">
        <v>0</v>
      </c>
      <c r="P23" s="27" t="n">
        <v>0</v>
      </c>
      <c r="Q23" s="27" t="n">
        <v>0</v>
      </c>
      <c r="R23" s="27" t="n">
        <v>0</v>
      </c>
      <c r="S23" s="27" t="n">
        <v>0</v>
      </c>
      <c r="T23" s="27" t="n">
        <v>0</v>
      </c>
      <c r="U23" s="27" t="n">
        <v>0</v>
      </c>
      <c r="V23" s="27" t="n">
        <v>0</v>
      </c>
      <c r="W23" s="27" t="n">
        <v>0</v>
      </c>
      <c r="X23" s="27" t="n">
        <v>0</v>
      </c>
      <c r="Y23" s="27" t="n">
        <v>0</v>
      </c>
      <c r="Z23" s="27" t="n">
        <v>0</v>
      </c>
      <c r="AA23" s="27" t="n">
        <v>0</v>
      </c>
      <c r="AB23" s="27" t="n">
        <v>0</v>
      </c>
      <c r="AC23" s="27" t="n">
        <v>0</v>
      </c>
      <c r="AD23" s="27" t="n">
        <v>0</v>
      </c>
      <c r="AE23" s="27" t="n">
        <v>0</v>
      </c>
      <c r="AF23" s="27" t="n">
        <v>0</v>
      </c>
      <c r="AG23" s="27" t="n">
        <v>0</v>
      </c>
      <c r="AH23" s="27" t="n">
        <v>0</v>
      </c>
      <c r="AI23" s="27" t="n">
        <v>0</v>
      </c>
      <c r="AJ23" s="27" t="n">
        <v>1</v>
      </c>
      <c r="AK23" s="27" t="n">
        <v>0</v>
      </c>
      <c r="AL23" s="27" t="n">
        <v>0</v>
      </c>
      <c r="AM23" s="27" t="n">
        <v>0</v>
      </c>
      <c r="AN23" s="27" t="n">
        <v>0</v>
      </c>
      <c r="AO23" s="14" t="s">
        <v>187</v>
      </c>
      <c r="AP23" s="14" t="s">
        <v>188</v>
      </c>
      <c r="AQ23" s="21" t="s">
        <v>283</v>
      </c>
    </row>
    <row r="24" customFormat="false" ht="15" hidden="false" customHeight="true" outlineLevel="0" collapsed="false">
      <c r="A24" s="14" t="s">
        <v>284</v>
      </c>
      <c r="B24" s="21" t="s">
        <v>285</v>
      </c>
      <c r="C24" s="21" t="s">
        <v>269</v>
      </c>
      <c r="D24" s="14" t="s">
        <v>185</v>
      </c>
      <c r="E24" s="21" t="s">
        <v>186</v>
      </c>
      <c r="F24" s="24" t="n">
        <v>25000</v>
      </c>
      <c r="G24" s="24" t="n">
        <v>10000</v>
      </c>
      <c r="H24" s="25" t="n">
        <f aca="false">F24+G24</f>
        <v>35000</v>
      </c>
      <c r="I24" s="26" t="n">
        <f aca="false">SUM(K24:AN24)</f>
        <v>1</v>
      </c>
      <c r="J24" s="25" t="n">
        <f aca="false">IF(I24=0,0,H24/I24)</f>
        <v>35000</v>
      </c>
      <c r="K24" s="27" t="n">
        <v>0</v>
      </c>
      <c r="L24" s="27" t="n">
        <v>0</v>
      </c>
      <c r="M24" s="27" t="n">
        <v>0</v>
      </c>
      <c r="N24" s="27" t="n">
        <v>0</v>
      </c>
      <c r="O24" s="27" t="n">
        <v>0</v>
      </c>
      <c r="P24" s="27" t="n">
        <v>0</v>
      </c>
      <c r="Q24" s="27" t="n">
        <v>0</v>
      </c>
      <c r="R24" s="27" t="n">
        <v>0</v>
      </c>
      <c r="S24" s="27" t="n">
        <v>0</v>
      </c>
      <c r="T24" s="27" t="n">
        <v>0</v>
      </c>
      <c r="U24" s="27" t="n">
        <v>0</v>
      </c>
      <c r="V24" s="27" t="n">
        <v>0</v>
      </c>
      <c r="W24" s="27" t="n">
        <v>0</v>
      </c>
      <c r="X24" s="27" t="n">
        <v>0</v>
      </c>
      <c r="Y24" s="27" t="n">
        <v>0</v>
      </c>
      <c r="Z24" s="27" t="n">
        <v>0</v>
      </c>
      <c r="AA24" s="27" t="n">
        <v>0</v>
      </c>
      <c r="AB24" s="27" t="n">
        <v>0</v>
      </c>
      <c r="AC24" s="27" t="n">
        <v>0</v>
      </c>
      <c r="AD24" s="27" t="n">
        <v>0</v>
      </c>
      <c r="AE24" s="27" t="n">
        <v>0</v>
      </c>
      <c r="AF24" s="27" t="n">
        <v>0</v>
      </c>
      <c r="AG24" s="27" t="n">
        <v>0</v>
      </c>
      <c r="AH24" s="27" t="n">
        <v>0</v>
      </c>
      <c r="AI24" s="27" t="n">
        <v>0</v>
      </c>
      <c r="AJ24" s="27" t="n">
        <v>0</v>
      </c>
      <c r="AK24" s="27" t="n">
        <v>1</v>
      </c>
      <c r="AL24" s="27" t="n">
        <v>0</v>
      </c>
      <c r="AM24" s="27" t="n">
        <v>0</v>
      </c>
      <c r="AN24" s="27" t="n">
        <v>0</v>
      </c>
      <c r="AO24" s="14" t="s">
        <v>187</v>
      </c>
      <c r="AP24" s="14" t="s">
        <v>195</v>
      </c>
      <c r="AQ24" s="21" t="s">
        <v>286</v>
      </c>
    </row>
    <row r="25" customFormat="false" ht="23.25" hidden="false" customHeight="true" outlineLevel="0" collapsed="false">
      <c r="A25" s="14" t="s">
        <v>287</v>
      </c>
      <c r="B25" s="21" t="s">
        <v>288</v>
      </c>
      <c r="C25" s="21" t="s">
        <v>289</v>
      </c>
      <c r="D25" s="14" t="s">
        <v>193</v>
      </c>
      <c r="E25" s="21" t="s">
        <v>186</v>
      </c>
      <c r="F25" s="24" t="n">
        <v>110000</v>
      </c>
      <c r="G25" s="24" t="n">
        <v>30000</v>
      </c>
      <c r="H25" s="25" t="n">
        <f aca="false">F25+G25</f>
        <v>140000</v>
      </c>
      <c r="I25" s="26" t="n">
        <f aca="false">SUM(K25:AN25)</f>
        <v>2</v>
      </c>
      <c r="J25" s="25" t="n">
        <f aca="false">IF(I25=0,0,H25/I25)</f>
        <v>70000</v>
      </c>
      <c r="K25" s="27" t="n">
        <v>0</v>
      </c>
      <c r="L25" s="27" t="n">
        <v>0</v>
      </c>
      <c r="M25" s="27" t="n">
        <v>0</v>
      </c>
      <c r="N25" s="27" t="n">
        <v>0</v>
      </c>
      <c r="O25" s="27" t="n">
        <v>0</v>
      </c>
      <c r="P25" s="27" t="n">
        <v>0</v>
      </c>
      <c r="Q25" s="27" t="n">
        <v>0</v>
      </c>
      <c r="R25" s="27" t="n">
        <v>0</v>
      </c>
      <c r="S25" s="27" t="n">
        <v>0</v>
      </c>
      <c r="T25" s="27" t="n">
        <v>0</v>
      </c>
      <c r="U25" s="27" t="n">
        <v>0</v>
      </c>
      <c r="V25" s="27" t="n">
        <v>0</v>
      </c>
      <c r="W25" s="27" t="n">
        <v>0</v>
      </c>
      <c r="X25" s="27" t="n">
        <v>0</v>
      </c>
      <c r="Y25" s="27" t="n">
        <v>0</v>
      </c>
      <c r="Z25" s="27" t="n">
        <v>0</v>
      </c>
      <c r="AA25" s="27" t="n">
        <v>0</v>
      </c>
      <c r="AB25" s="27" t="n">
        <v>0</v>
      </c>
      <c r="AC25" s="27" t="n">
        <v>0</v>
      </c>
      <c r="AD25" s="27" t="n">
        <v>0</v>
      </c>
      <c r="AE25" s="27" t="n">
        <v>0</v>
      </c>
      <c r="AF25" s="27" t="n">
        <v>1</v>
      </c>
      <c r="AG25" s="27" t="n">
        <v>0</v>
      </c>
      <c r="AH25" s="27" t="n">
        <v>0</v>
      </c>
      <c r="AI25" s="27" t="n">
        <v>0</v>
      </c>
      <c r="AJ25" s="27" t="n">
        <v>0</v>
      </c>
      <c r="AK25" s="27" t="n">
        <v>0</v>
      </c>
      <c r="AL25" s="27" t="n">
        <v>0</v>
      </c>
      <c r="AM25" s="27" t="n">
        <v>1</v>
      </c>
      <c r="AN25" s="27" t="n">
        <v>0</v>
      </c>
      <c r="AO25" s="14" t="s">
        <v>222</v>
      </c>
      <c r="AP25" s="14" t="s">
        <v>196</v>
      </c>
      <c r="AQ25" s="21" t="s">
        <v>290</v>
      </c>
    </row>
    <row r="26" customFormat="false" ht="23.25" hidden="false" customHeight="true" outlineLevel="0" collapsed="false">
      <c r="A26" s="14" t="s">
        <v>291</v>
      </c>
      <c r="B26" s="21" t="s">
        <v>292</v>
      </c>
      <c r="C26" s="21" t="s">
        <v>293</v>
      </c>
      <c r="D26" s="14" t="s">
        <v>185</v>
      </c>
      <c r="E26" s="21" t="s">
        <v>200</v>
      </c>
      <c r="F26" s="24" t="n">
        <v>25000</v>
      </c>
      <c r="G26" s="24" t="n">
        <v>30000</v>
      </c>
      <c r="H26" s="25" t="n">
        <f aca="false">F26+G26</f>
        <v>55000</v>
      </c>
      <c r="I26" s="26" t="n">
        <f aca="false">SUM(K26:AN26)</f>
        <v>1</v>
      </c>
      <c r="J26" s="25" t="n">
        <f aca="false">IF(I26=0,0,H26/I26)</f>
        <v>55000</v>
      </c>
      <c r="K26" s="27" t="n">
        <v>0</v>
      </c>
      <c r="L26" s="27" t="n">
        <v>0</v>
      </c>
      <c r="M26" s="27" t="n">
        <v>0</v>
      </c>
      <c r="N26" s="27" t="n">
        <v>0</v>
      </c>
      <c r="O26" s="27" t="n">
        <v>0</v>
      </c>
      <c r="P26" s="27" t="n">
        <v>0</v>
      </c>
      <c r="Q26" s="27" t="n">
        <v>0</v>
      </c>
      <c r="R26" s="27" t="n">
        <v>0</v>
      </c>
      <c r="S26" s="27" t="n">
        <v>0</v>
      </c>
      <c r="T26" s="27" t="n">
        <v>0</v>
      </c>
      <c r="U26" s="27" t="n">
        <v>0</v>
      </c>
      <c r="V26" s="27" t="n">
        <v>0</v>
      </c>
      <c r="W26" s="27" t="n">
        <v>0</v>
      </c>
      <c r="X26" s="27" t="n">
        <v>0</v>
      </c>
      <c r="Y26" s="27" t="n">
        <v>0</v>
      </c>
      <c r="Z26" s="27" t="n">
        <v>0</v>
      </c>
      <c r="AA26" s="27" t="n">
        <v>0</v>
      </c>
      <c r="AB26" s="27" t="n">
        <v>0</v>
      </c>
      <c r="AC26" s="27" t="n">
        <v>0</v>
      </c>
      <c r="AD26" s="27" t="n">
        <v>0</v>
      </c>
      <c r="AE26" s="27" t="n">
        <v>0</v>
      </c>
      <c r="AF26" s="27" t="n">
        <v>0</v>
      </c>
      <c r="AG26" s="27" t="n">
        <v>0</v>
      </c>
      <c r="AH26" s="27" t="n">
        <v>0</v>
      </c>
      <c r="AI26" s="27" t="n">
        <v>0</v>
      </c>
      <c r="AJ26" s="27" t="n">
        <v>0</v>
      </c>
      <c r="AK26" s="27" t="n">
        <v>0</v>
      </c>
      <c r="AL26" s="27" t="n">
        <v>0</v>
      </c>
      <c r="AM26" s="27" t="n">
        <v>0</v>
      </c>
      <c r="AN26" s="27" t="n">
        <v>1</v>
      </c>
      <c r="AO26" s="14" t="s">
        <v>187</v>
      </c>
      <c r="AP26" s="14" t="s">
        <v>222</v>
      </c>
      <c r="AQ26" s="21" t="s">
        <v>294</v>
      </c>
    </row>
    <row r="27" customFormat="false" ht="15" hidden="false" customHeight="true" outlineLevel="0" collapsed="false">
      <c r="B27" s="15" t="s">
        <v>295</v>
      </c>
      <c r="F27" s="17" t="n">
        <f aca="false">SUM(F4:F26)</f>
        <v>3390000</v>
      </c>
      <c r="G27" s="17" t="n">
        <f aca="false">SUM(G4:G26)</f>
        <v>1921000</v>
      </c>
      <c r="H27" s="17" t="n">
        <f aca="false">SUM(H4:H26)</f>
        <v>5311000</v>
      </c>
      <c r="K27" s="17" t="n">
        <f aca="false">SUMPRODUCT(K4:K26,$J$4:$J$26)</f>
        <v>123422.969187675</v>
      </c>
      <c r="L27" s="17" t="n">
        <f aca="false">SUMPRODUCT(L4:L26,$J$4:$J$26)</f>
        <v>356345.191409897</v>
      </c>
      <c r="M27" s="17" t="n">
        <f aca="false">SUMPRODUCT(M4:M26,$J$4:$J$26)</f>
        <v>267145.191409897</v>
      </c>
      <c r="N27" s="17" t="n">
        <f aca="false">SUMPRODUCT(N4:N26,$J$4:$J$26)</f>
        <v>154470.588235294</v>
      </c>
      <c r="O27" s="17" t="n">
        <f aca="false">SUMPRODUCT(O4:O26,$J$4:$J$26)</f>
        <v>147137.254901961</v>
      </c>
      <c r="P27" s="17" t="n">
        <f aca="false">SUMPRODUCT(P4:P26,$J$4:$J$26)</f>
        <v>183956.302521008</v>
      </c>
      <c r="Q27" s="17" t="n">
        <f aca="false">SUMPRODUCT(Q4:Q26,$J$4:$J$26)</f>
        <v>282485.714285714</v>
      </c>
      <c r="R27" s="17" t="n">
        <f aca="false">SUMPRODUCT(R4:R26,$J$4:$J$26)</f>
        <v>108978.524743231</v>
      </c>
      <c r="S27" s="17" t="n">
        <f aca="false">SUMPRODUCT(S4:S26,$J$4:$J$26)</f>
        <v>209645.191409897</v>
      </c>
      <c r="T27" s="17" t="n">
        <f aca="false">SUMPRODUCT(T4:T26,$J$4:$J$26)</f>
        <v>355145.191409897</v>
      </c>
      <c r="U27" s="17" t="n">
        <f aca="false">SUMPRODUCT(U4:U26,$J$4:$J$26)</f>
        <v>201470.588235294</v>
      </c>
      <c r="V27" s="17" t="n">
        <f aca="false">SUMPRODUCT(V4:V26,$J$4:$J$26)</f>
        <v>110756.302521008</v>
      </c>
      <c r="W27" s="17" t="n">
        <f aca="false">SUMPRODUCT(W4:W26,$J$4:$J$26)</f>
        <v>72222.2222222222</v>
      </c>
      <c r="X27" s="17" t="n">
        <f aca="false">SUMPRODUCT(X4:X26,$J$4:$J$26)</f>
        <v>38500</v>
      </c>
      <c r="Y27" s="17" t="n">
        <f aca="false">SUMPRODUCT(Y4:Y26,$J$4:$J$26)</f>
        <v>43333.3333333333</v>
      </c>
      <c r="Z27" s="17" t="n">
        <f aca="false">SUMPRODUCT(Z4:Z26,$J$4:$J$26)</f>
        <v>492222.222222222</v>
      </c>
      <c r="AA27" s="17" t="n">
        <f aca="false">SUMPRODUCT(AA4:AA26,$J$4:$J$26)</f>
        <v>96666.6666666667</v>
      </c>
      <c r="AB27" s="17" t="n">
        <f aca="false">SUMPRODUCT(AB4:AB26,$J$4:$J$26)</f>
        <v>264670.588235294</v>
      </c>
      <c r="AC27" s="17" t="n">
        <f aca="false">SUMPRODUCT(AC4:AC26,$J$4:$J$26)</f>
        <v>138692.810457516</v>
      </c>
      <c r="AD27" s="17" t="n">
        <f aca="false">SUMPRODUCT(AD4:AD26,$J$4:$J$26)</f>
        <v>167422.969187675</v>
      </c>
      <c r="AE27" s="17" t="n">
        <f aca="false">SUMPRODUCT(AE4:AE26,$J$4:$J$26)</f>
        <v>127333.333333333</v>
      </c>
      <c r="AF27" s="17" t="n">
        <f aca="false">SUMPRODUCT(AF4:AF26,$J$4:$J$26)</f>
        <v>70000</v>
      </c>
      <c r="AG27" s="17" t="n">
        <f aca="false">SUMPRODUCT(AG4:AG26,$J$4:$J$26)</f>
        <v>180622.969187675</v>
      </c>
      <c r="AH27" s="17" t="n">
        <f aca="false">SUMPRODUCT(AH4:AH26,$J$4:$J$26)</f>
        <v>261756.302521008</v>
      </c>
      <c r="AI27" s="17" t="n">
        <f aca="false">SUMPRODUCT(AI4:AI26,$J$4:$J$26)</f>
        <v>96666.6666666667</v>
      </c>
      <c r="AJ27" s="17" t="n">
        <f aca="false">SUMPRODUCT(AJ4:AJ26,$J$4:$J$26)</f>
        <v>174000</v>
      </c>
      <c r="AK27" s="17" t="n">
        <f aca="false">SUMPRODUCT(AK4:AK26,$J$4:$J$26)</f>
        <v>85285.7142857143</v>
      </c>
      <c r="AL27" s="17" t="n">
        <f aca="false">SUMPRODUCT(AL4:AL26,$J$4:$J$26)</f>
        <v>192859.477124183</v>
      </c>
      <c r="AM27" s="17" t="n">
        <f aca="false">SUMPRODUCT(AM4:AM26,$J$4:$J$26)</f>
        <v>214285.714285714</v>
      </c>
      <c r="AN27" s="17" t="n">
        <f aca="false">SUMPRODUCT(AN4:AN26,$J$4:$J$26)</f>
        <v>93500</v>
      </c>
    </row>
    <row r="28" customFormat="false" ht="15" hidden="false" customHeight="true" outlineLevel="0" collapsed="false">
      <c r="B28" s="14" t="s">
        <v>296</v>
      </c>
      <c r="H28" s="28" t="n">
        <f aca="false">SUM(K27:AN27)-H27</f>
        <v>0</v>
      </c>
    </row>
    <row r="30" customFormat="false" ht="15" hidden="false" customHeight="true" outlineLevel="0" collapsed="false">
      <c r="B30" s="3" t="s">
        <v>297</v>
      </c>
    </row>
    <row r="31" customFormat="false" ht="15" hidden="false" customHeight="true" outlineLevel="0" collapsed="false">
      <c r="B31" s="3"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4" min="3" style="1" width="7"/>
    <col collapsed="false" customWidth="true" hidden="false" outlineLevel="0" max="5" min="5" style="1" width="8"/>
    <col collapsed="false" customWidth="true" hidden="false" outlineLevel="0" max="12" min="6" style="1" width="7"/>
    <col collapsed="false" customWidth="true" hidden="false" outlineLevel="0" max="15" min="13" style="1" width="11"/>
    <col collapsed="false" customWidth="true" hidden="false" outlineLevel="0" max="16" min="16" style="1" width="8"/>
    <col collapsed="false" customWidth="true" hidden="false" outlineLevel="0" max="17" min="17" style="1" width="26"/>
  </cols>
  <sheetData>
    <row r="1" customFormat="false" ht="17.25" hidden="false" customHeight="true" outlineLevel="0" collapsed="false">
      <c r="A1" s="2" t="s">
        <v>299</v>
      </c>
    </row>
    <row r="2" customFormat="false" ht="15" hidden="false" customHeight="true" outlineLevel="0" collapsed="false">
      <c r="A2" s="3" t="s">
        <v>300</v>
      </c>
    </row>
    <row r="4" customFormat="false" ht="23.25" hidden="false" customHeight="true" outlineLevel="0" collapsed="false">
      <c r="A4" s="5" t="s">
        <v>27</v>
      </c>
      <c r="B4" s="5" t="s">
        <v>301</v>
      </c>
      <c r="C4" s="5" t="s">
        <v>302</v>
      </c>
      <c r="D4" s="5" t="s">
        <v>29</v>
      </c>
      <c r="E4" s="5" t="s">
        <v>30</v>
      </c>
      <c r="F4" s="5" t="s">
        <v>32</v>
      </c>
      <c r="G4" s="5" t="s">
        <v>33</v>
      </c>
      <c r="H4" s="5" t="s">
        <v>35</v>
      </c>
      <c r="I4" s="5" t="s">
        <v>303</v>
      </c>
      <c r="J4" s="5" t="s">
        <v>304</v>
      </c>
      <c r="K4" s="5" t="s">
        <v>305</v>
      </c>
      <c r="L4" s="5" t="s">
        <v>306</v>
      </c>
      <c r="M4" s="5" t="s">
        <v>307</v>
      </c>
      <c r="N4" s="5" t="s">
        <v>308</v>
      </c>
      <c r="O4" s="5" t="s">
        <v>45</v>
      </c>
      <c r="P4" s="5" t="s">
        <v>309</v>
      </c>
      <c r="Q4" s="5" t="s">
        <v>47</v>
      </c>
    </row>
    <row r="5" customFormat="false" ht="15" hidden="false" customHeight="true" outlineLevel="0" collapsed="false">
      <c r="A5" s="14" t="s">
        <v>84</v>
      </c>
      <c r="B5" s="14" t="s">
        <v>310</v>
      </c>
      <c r="C5" s="12" t="n">
        <f aca="false">-1*Parameters!$B$9</f>
        <v>-0.1</v>
      </c>
      <c r="D5" s="12" t="n">
        <f aca="false">MAX(0.05,MIN(0.99,Inputs!C5+C5))</f>
        <v>0.65</v>
      </c>
      <c r="E5" s="12" t="n">
        <f aca="false">MAX(0.05,MIN(0.99,Inputs!D5+C5))</f>
        <v>0.4</v>
      </c>
      <c r="F5" s="12" t="n">
        <f aca="false">MAX(0.05,MIN(0.99,Inputs!E5+C5))</f>
        <v>0.6</v>
      </c>
      <c r="G5" s="12" t="n">
        <f aca="false">MAX(0.05,MIN(0.99,Inputs!F5+C5))</f>
        <v>0.85</v>
      </c>
      <c r="H5" s="12" t="n">
        <f aca="false">MAX(0.05,MIN(0.99,Inputs!G5-C5))</f>
        <v>0.45</v>
      </c>
      <c r="I5" s="8" t="n">
        <f aca="false">Inputs!H5</f>
        <v>0.95</v>
      </c>
      <c r="J5" s="9" t="n">
        <f aca="false">Inputs!J5</f>
        <v>9.3</v>
      </c>
      <c r="K5" s="12" t="n">
        <f aca="false">MAX(0.05,MIN(0.99,Inputs!K5-C5))</f>
        <v>0.85</v>
      </c>
      <c r="L5" s="12" t="n">
        <f aca="false">MAX(0.05,MIN(0.99,Inputs!L5-C5))</f>
        <v>0.85</v>
      </c>
      <c r="M5" s="11" t="n">
        <f aca="false">D5*E5*J5*((F5+G5)/2)*I5/H5*Parameters!$B$5</f>
        <v>3700.88333333333</v>
      </c>
      <c r="N5" s="11" t="n">
        <f aca="false">D5*E5*J5*Parameters!$B$4*I5/H5*Parameters!$B$5</f>
        <v>1531.4</v>
      </c>
      <c r="O5" s="11" t="n">
        <f aca="false">M5-M5*K5*L5</f>
        <v>1026.995125</v>
      </c>
      <c r="P5" s="12" t="n">
        <f aca="false">O5/N5</f>
        <v>0.670625</v>
      </c>
      <c r="Q5" s="14" t="str">
        <f aca="false">IF(P5&lt;Parameters!$B$6,"Below tolerance",IF(P5&lt;=Parameters!$B$7,"Approximately at tolerance","Above tolerance"))</f>
        <v>Below tolerance</v>
      </c>
    </row>
    <row r="6" customFormat="false" ht="15" hidden="false" customHeight="true" outlineLevel="0" collapsed="false">
      <c r="A6" s="14" t="s">
        <v>84</v>
      </c>
      <c r="B6" s="14" t="s">
        <v>311</v>
      </c>
      <c r="C6" s="12" t="n">
        <f aca="false">0*Parameters!$B$9</f>
        <v>0</v>
      </c>
      <c r="D6" s="12" t="n">
        <f aca="false">MAX(0.05,MIN(0.99,Inputs!C5+C6))</f>
        <v>0.75</v>
      </c>
      <c r="E6" s="12" t="n">
        <f aca="false">MAX(0.05,MIN(0.99,Inputs!D5+C6))</f>
        <v>0.5</v>
      </c>
      <c r="F6" s="12" t="n">
        <f aca="false">MAX(0.05,MIN(0.99,Inputs!E5+C6))</f>
        <v>0.7</v>
      </c>
      <c r="G6" s="12" t="n">
        <f aca="false">MAX(0.05,MIN(0.99,Inputs!F5+C6))</f>
        <v>0.95</v>
      </c>
      <c r="H6" s="12" t="n">
        <f aca="false">MAX(0.05,MIN(0.99,Inputs!G5-C6))</f>
        <v>0.35</v>
      </c>
      <c r="I6" s="8" t="n">
        <f aca="false">Inputs!H5</f>
        <v>0.95</v>
      </c>
      <c r="J6" s="9" t="n">
        <f aca="false">Inputs!J5</f>
        <v>9.3</v>
      </c>
      <c r="K6" s="12" t="n">
        <f aca="false">MAX(0.05,MIN(0.99,Inputs!K5-C6))</f>
        <v>0.75</v>
      </c>
      <c r="L6" s="12" t="n">
        <f aca="false">MAX(0.05,MIN(0.99,Inputs!L5-C6))</f>
        <v>0.75</v>
      </c>
      <c r="M6" s="11" t="n">
        <f aca="false">D6*E6*J6*((F6+G6)/2)*I6/H6*Parameters!$B$5</f>
        <v>7809.50892857143</v>
      </c>
      <c r="N6" s="11" t="n">
        <f aca="false">D6*E6*J6*Parameters!$B$4*I6/H6*Parameters!$B$5</f>
        <v>2839.82142857143</v>
      </c>
      <c r="O6" s="11" t="n">
        <f aca="false">M6-M6*K6*L6</f>
        <v>3416.66015625</v>
      </c>
      <c r="P6" s="12" t="n">
        <f aca="false">O6/N6</f>
        <v>1.203125</v>
      </c>
      <c r="Q6" s="14" t="str">
        <f aca="false">IF(P6&lt;Parameters!$B$6,"Below tolerance",IF(P6&lt;=Parameters!$B$7,"Approximately at tolerance","Above tolerance"))</f>
        <v>Above tolerance</v>
      </c>
    </row>
    <row r="7" customFormat="false" ht="15" hidden="false" customHeight="true" outlineLevel="0" collapsed="false">
      <c r="A7" s="14" t="s">
        <v>84</v>
      </c>
      <c r="B7" s="14" t="s">
        <v>312</v>
      </c>
      <c r="C7" s="12" t="n">
        <f aca="false">1*Parameters!$B$9</f>
        <v>0.1</v>
      </c>
      <c r="D7" s="12" t="n">
        <f aca="false">MAX(0.05,MIN(0.99,Inputs!C5+C7))</f>
        <v>0.85</v>
      </c>
      <c r="E7" s="12" t="n">
        <f aca="false">MAX(0.05,MIN(0.99,Inputs!D5+C7))</f>
        <v>0.6</v>
      </c>
      <c r="F7" s="12" t="n">
        <f aca="false">MAX(0.05,MIN(0.99,Inputs!E5+C7))</f>
        <v>0.8</v>
      </c>
      <c r="G7" s="12" t="n">
        <f aca="false">MAX(0.05,MIN(0.99,Inputs!F5+C7))</f>
        <v>0.99</v>
      </c>
      <c r="H7" s="12" t="n">
        <f aca="false">MAX(0.05,MIN(0.99,Inputs!G5-C7))</f>
        <v>0.25</v>
      </c>
      <c r="I7" s="8" t="n">
        <f aca="false">Inputs!H5</f>
        <v>0.95</v>
      </c>
      <c r="J7" s="9" t="n">
        <f aca="false">Inputs!J5</f>
        <v>9.3</v>
      </c>
      <c r="K7" s="12" t="n">
        <f aca="false">MAX(0.05,MIN(0.99,Inputs!K5-C7))</f>
        <v>0.65</v>
      </c>
      <c r="L7" s="12" t="n">
        <f aca="false">MAX(0.05,MIN(0.99,Inputs!L5-C7))</f>
        <v>0.65</v>
      </c>
      <c r="M7" s="11" t="n">
        <f aca="false">D7*E7*J7*((F7+G7)/2)*I7/H7*Parameters!$B$5</f>
        <v>16130.943</v>
      </c>
      <c r="N7" s="11" t="n">
        <f aca="false">D7*E7*J7*Parameters!$B$4*I7/H7*Parameters!$B$5</f>
        <v>5407.02</v>
      </c>
      <c r="O7" s="11" t="n">
        <f aca="false">M7-M7*K7*L7</f>
        <v>9315.6195825</v>
      </c>
      <c r="P7" s="12" t="n">
        <f aca="false">O7/N7</f>
        <v>1.722875</v>
      </c>
      <c r="Q7" s="14" t="str">
        <f aca="false">IF(P7&lt;Parameters!$B$6,"Below tolerance",IF(P7&lt;=Parameters!$B$7,"Approximately at tolerance","Above tolerance"))</f>
        <v>Above tolerance</v>
      </c>
    </row>
    <row r="8" customFormat="false" ht="15" hidden="false" customHeight="true" outlineLevel="0" collapsed="false">
      <c r="A8" s="14" t="s">
        <v>102</v>
      </c>
      <c r="B8" s="14" t="s">
        <v>310</v>
      </c>
      <c r="C8" s="12" t="n">
        <f aca="false">-1*Parameters!$B$9</f>
        <v>-0.1</v>
      </c>
      <c r="D8" s="12" t="n">
        <f aca="false">MAX(0.05,MIN(0.99,Inputs!C11+C8))</f>
        <v>0.7</v>
      </c>
      <c r="E8" s="12" t="n">
        <f aca="false">MAX(0.05,MIN(0.99,Inputs!D11+C8))</f>
        <v>0.5</v>
      </c>
      <c r="F8" s="12" t="n">
        <f aca="false">MAX(0.05,MIN(0.99,Inputs!E11+C8))</f>
        <v>0.5</v>
      </c>
      <c r="G8" s="12" t="n">
        <f aca="false">MAX(0.05,MIN(0.99,Inputs!F11+C8))</f>
        <v>0.8</v>
      </c>
      <c r="H8" s="12" t="n">
        <f aca="false">MAX(0.05,MIN(0.99,Inputs!G11-C8))</f>
        <v>0.4</v>
      </c>
      <c r="I8" s="8" t="n">
        <f aca="false">Inputs!H11</f>
        <v>0.85</v>
      </c>
      <c r="J8" s="9" t="n">
        <f aca="false">Inputs!J11</f>
        <v>9.2</v>
      </c>
      <c r="K8" s="12" t="n">
        <f aca="false">MAX(0.05,MIN(0.99,Inputs!K11-C8))</f>
        <v>0.8</v>
      </c>
      <c r="L8" s="12" t="n">
        <f aca="false">MAX(0.05,MIN(0.99,Inputs!L11-C8))</f>
        <v>0.9</v>
      </c>
      <c r="M8" s="11" t="n">
        <f aca="false">D8*E8*J8*((F8+G8)/2)*I8/H8*Parameters!$B$5</f>
        <v>4447.625</v>
      </c>
      <c r="N8" s="11" t="n">
        <f aca="false">D8*E8*J8*Parameters!$B$4*I8/H8*Parameters!$B$5</f>
        <v>2052.75</v>
      </c>
      <c r="O8" s="11" t="n">
        <f aca="false">M8-M8*K8*L8</f>
        <v>1245.335</v>
      </c>
      <c r="P8" s="12" t="n">
        <f aca="false">O8/N8</f>
        <v>0.606666666666667</v>
      </c>
      <c r="Q8" s="14" t="str">
        <f aca="false">IF(P8&lt;Parameters!$B$6,"Below tolerance",IF(P8&lt;=Parameters!$B$7,"Approximately at tolerance","Above tolerance"))</f>
        <v>Below tolerance</v>
      </c>
    </row>
    <row r="9" customFormat="false" ht="15" hidden="false" customHeight="true" outlineLevel="0" collapsed="false">
      <c r="A9" s="14" t="s">
        <v>102</v>
      </c>
      <c r="B9" s="14" t="s">
        <v>311</v>
      </c>
      <c r="C9" s="12" t="n">
        <f aca="false">0*Parameters!$B$9</f>
        <v>0</v>
      </c>
      <c r="D9" s="12" t="n">
        <f aca="false">MAX(0.05,MIN(0.99,Inputs!C11+C9))</f>
        <v>0.8</v>
      </c>
      <c r="E9" s="12" t="n">
        <f aca="false">MAX(0.05,MIN(0.99,Inputs!D11+C9))</f>
        <v>0.6</v>
      </c>
      <c r="F9" s="12" t="n">
        <f aca="false">MAX(0.05,MIN(0.99,Inputs!E11+C9))</f>
        <v>0.6</v>
      </c>
      <c r="G9" s="12" t="n">
        <f aca="false">MAX(0.05,MIN(0.99,Inputs!F11+C9))</f>
        <v>0.9</v>
      </c>
      <c r="H9" s="12" t="n">
        <f aca="false">MAX(0.05,MIN(0.99,Inputs!G11-C9))</f>
        <v>0.3</v>
      </c>
      <c r="I9" s="8" t="n">
        <f aca="false">Inputs!H11</f>
        <v>0.85</v>
      </c>
      <c r="J9" s="9" t="n">
        <f aca="false">Inputs!J11</f>
        <v>9.2</v>
      </c>
      <c r="K9" s="12" t="n">
        <f aca="false">MAX(0.05,MIN(0.99,Inputs!K11-C9))</f>
        <v>0.7</v>
      </c>
      <c r="L9" s="12" t="n">
        <f aca="false">MAX(0.05,MIN(0.99,Inputs!L11-C9))</f>
        <v>0.8</v>
      </c>
      <c r="M9" s="11" t="n">
        <f aca="false">D9*E9*J9*((F9+G9)/2)*I9/H9*Parameters!$B$5</f>
        <v>9384</v>
      </c>
      <c r="N9" s="11" t="n">
        <f aca="false">D9*E9*J9*Parameters!$B$4*I9/H9*Parameters!$B$5</f>
        <v>3753.6</v>
      </c>
      <c r="O9" s="11" t="n">
        <f aca="false">M9-M9*K9*L9</f>
        <v>4128.96</v>
      </c>
      <c r="P9" s="12" t="n">
        <f aca="false">O9/N9</f>
        <v>1.1</v>
      </c>
      <c r="Q9" s="14" t="str">
        <f aca="false">IF(P9&lt;Parameters!$B$6,"Below tolerance",IF(P9&lt;=Parameters!$B$7,"Approximately at tolerance","Above tolerance"))</f>
        <v>Approximately at tolerance</v>
      </c>
    </row>
    <row r="10" customFormat="false" ht="15" hidden="false" customHeight="true" outlineLevel="0" collapsed="false">
      <c r="A10" s="14" t="s">
        <v>102</v>
      </c>
      <c r="B10" s="14" t="s">
        <v>312</v>
      </c>
      <c r="C10" s="12" t="n">
        <f aca="false">1*Parameters!$B$9</f>
        <v>0.1</v>
      </c>
      <c r="D10" s="12" t="n">
        <f aca="false">MAX(0.05,MIN(0.99,Inputs!C11+C10))</f>
        <v>0.9</v>
      </c>
      <c r="E10" s="12" t="n">
        <f aca="false">MAX(0.05,MIN(0.99,Inputs!D11+C10))</f>
        <v>0.7</v>
      </c>
      <c r="F10" s="12" t="n">
        <f aca="false">MAX(0.05,MIN(0.99,Inputs!E11+C10))</f>
        <v>0.7</v>
      </c>
      <c r="G10" s="12" t="n">
        <f aca="false">MAX(0.05,MIN(0.99,Inputs!F11+C10))</f>
        <v>0.99</v>
      </c>
      <c r="H10" s="12" t="n">
        <f aca="false">MAX(0.05,MIN(0.99,Inputs!G11-C10))</f>
        <v>0.2</v>
      </c>
      <c r="I10" s="8" t="n">
        <f aca="false">Inputs!H11</f>
        <v>0.85</v>
      </c>
      <c r="J10" s="9" t="n">
        <f aca="false">Inputs!J11</f>
        <v>9.2</v>
      </c>
      <c r="K10" s="12" t="n">
        <f aca="false">MAX(0.05,MIN(0.99,Inputs!K11-C10))</f>
        <v>0.6</v>
      </c>
      <c r="L10" s="12" t="n">
        <f aca="false">MAX(0.05,MIN(0.99,Inputs!L11-C10))</f>
        <v>0.7</v>
      </c>
      <c r="M10" s="11" t="n">
        <f aca="false">D10*E10*J10*((F10+G10)/2)*I10/H10*Parameters!$B$5</f>
        <v>20814.885</v>
      </c>
      <c r="N10" s="11" t="n">
        <f aca="false">D10*E10*J10*Parameters!$B$4*I10/H10*Parameters!$B$5</f>
        <v>7389.9</v>
      </c>
      <c r="O10" s="11" t="n">
        <f aca="false">M10-M10*K10*L10</f>
        <v>12072.6333</v>
      </c>
      <c r="P10" s="12" t="n">
        <f aca="false">O10/N10</f>
        <v>1.63366666666667</v>
      </c>
      <c r="Q10" s="14" t="str">
        <f aca="false">IF(P10&lt;Parameters!$B$6,"Below tolerance",IF(P10&lt;=Parameters!$B$7,"Approximately at tolerance","Above tolerance"))</f>
        <v>Above tolerance</v>
      </c>
    </row>
    <row r="11" customFormat="false" ht="15" hidden="false" customHeight="true" outlineLevel="0" collapsed="false">
      <c r="A11" s="14" t="s">
        <v>78</v>
      </c>
      <c r="B11" s="14" t="s">
        <v>310</v>
      </c>
      <c r="C11" s="12" t="n">
        <f aca="false">-1*Parameters!$B$9</f>
        <v>-0.1</v>
      </c>
      <c r="D11" s="12" t="n">
        <f aca="false">MAX(0.05,MIN(0.99,Inputs!C4+C11))</f>
        <v>0.75</v>
      </c>
      <c r="E11" s="12" t="n">
        <f aca="false">MAX(0.05,MIN(0.99,Inputs!D4+C11))</f>
        <v>0.45</v>
      </c>
      <c r="F11" s="12" t="n">
        <f aca="false">MAX(0.05,MIN(0.99,Inputs!E4+C11))</f>
        <v>0.45</v>
      </c>
      <c r="G11" s="12" t="n">
        <f aca="false">MAX(0.05,MIN(0.99,Inputs!F4+C11))</f>
        <v>0.75</v>
      </c>
      <c r="H11" s="12" t="n">
        <f aca="false">MAX(0.05,MIN(0.99,Inputs!G4-C11))</f>
        <v>0.5</v>
      </c>
      <c r="I11" s="8" t="n">
        <f aca="false">Inputs!H4</f>
        <v>0.85</v>
      </c>
      <c r="J11" s="9" t="n">
        <f aca="false">Inputs!J4</f>
        <v>9.3</v>
      </c>
      <c r="K11" s="12" t="n">
        <f aca="false">MAX(0.05,MIN(0.99,Inputs!K4-C11))</f>
        <v>0.9</v>
      </c>
      <c r="L11" s="12" t="n">
        <f aca="false">MAX(0.05,MIN(0.99,Inputs!L4-C11))</f>
        <v>0.85</v>
      </c>
      <c r="M11" s="11" t="n">
        <f aca="false">D11*E11*J11*((F11+G11)/2)*I11/H11*Parameters!$B$5</f>
        <v>3201.525</v>
      </c>
      <c r="N11" s="11" t="n">
        <f aca="false">D11*E11*J11*Parameters!$B$4*I11/H11*Parameters!$B$5</f>
        <v>1600.7625</v>
      </c>
      <c r="O11" s="11" t="n">
        <f aca="false">M11-M11*K11*L11</f>
        <v>752.358375</v>
      </c>
      <c r="P11" s="12" t="n">
        <f aca="false">O11/N11</f>
        <v>0.47</v>
      </c>
      <c r="Q11" s="14" t="str">
        <f aca="false">IF(P11&lt;Parameters!$B$6,"Below tolerance",IF(P11&lt;=Parameters!$B$7,"Approximately at tolerance","Above tolerance"))</f>
        <v>Below tolerance</v>
      </c>
    </row>
    <row r="12" customFormat="false" ht="15" hidden="false" customHeight="true" outlineLevel="0" collapsed="false">
      <c r="A12" s="14" t="s">
        <v>78</v>
      </c>
      <c r="B12" s="14" t="s">
        <v>311</v>
      </c>
      <c r="C12" s="12" t="n">
        <f aca="false">0*Parameters!$B$9</f>
        <v>0</v>
      </c>
      <c r="D12" s="12" t="n">
        <f aca="false">MAX(0.05,MIN(0.99,Inputs!C4+C12))</f>
        <v>0.85</v>
      </c>
      <c r="E12" s="12" t="n">
        <f aca="false">MAX(0.05,MIN(0.99,Inputs!D4+C12))</f>
        <v>0.55</v>
      </c>
      <c r="F12" s="12" t="n">
        <f aca="false">MAX(0.05,MIN(0.99,Inputs!E4+C12))</f>
        <v>0.55</v>
      </c>
      <c r="G12" s="12" t="n">
        <f aca="false">MAX(0.05,MIN(0.99,Inputs!F4+C12))</f>
        <v>0.85</v>
      </c>
      <c r="H12" s="12" t="n">
        <f aca="false">MAX(0.05,MIN(0.99,Inputs!G4-C12))</f>
        <v>0.4</v>
      </c>
      <c r="I12" s="8" t="n">
        <f aca="false">Inputs!H4</f>
        <v>0.85</v>
      </c>
      <c r="J12" s="9" t="n">
        <f aca="false">Inputs!J4</f>
        <v>9.3</v>
      </c>
      <c r="K12" s="12" t="n">
        <f aca="false">MAX(0.05,MIN(0.99,Inputs!K4-C12))</f>
        <v>0.8</v>
      </c>
      <c r="L12" s="12" t="n">
        <f aca="false">MAX(0.05,MIN(0.99,Inputs!L4-C12))</f>
        <v>0.75</v>
      </c>
      <c r="M12" s="11" t="n">
        <f aca="false">D12*E12*J12*((F12+G12)/2)*I12/H12*Parameters!$B$5</f>
        <v>6467.278125</v>
      </c>
      <c r="N12" s="11" t="n">
        <f aca="false">D12*E12*J12*Parameters!$B$4*I12/H12*Parameters!$B$5</f>
        <v>2771.690625</v>
      </c>
      <c r="O12" s="11" t="n">
        <f aca="false">M12-M12*K12*L12</f>
        <v>2586.91125</v>
      </c>
      <c r="P12" s="12" t="n">
        <f aca="false">O12/N12</f>
        <v>0.933333333333333</v>
      </c>
      <c r="Q12" s="14" t="str">
        <f aca="false">IF(P12&lt;Parameters!$B$6,"Below tolerance",IF(P12&lt;=Parameters!$B$7,"Approximately at tolerance","Above tolerance"))</f>
        <v>Approximately at tolerance</v>
      </c>
    </row>
    <row r="13" customFormat="false" ht="15" hidden="false" customHeight="true" outlineLevel="0" collapsed="false">
      <c r="A13" s="14" t="s">
        <v>78</v>
      </c>
      <c r="B13" s="14" t="s">
        <v>312</v>
      </c>
      <c r="C13" s="12" t="n">
        <f aca="false">1*Parameters!$B$9</f>
        <v>0.1</v>
      </c>
      <c r="D13" s="12" t="n">
        <f aca="false">MAX(0.05,MIN(0.99,Inputs!C4+C13))</f>
        <v>0.95</v>
      </c>
      <c r="E13" s="12" t="n">
        <f aca="false">MAX(0.05,MIN(0.99,Inputs!D4+C13))</f>
        <v>0.65</v>
      </c>
      <c r="F13" s="12" t="n">
        <f aca="false">MAX(0.05,MIN(0.99,Inputs!E4+C13))</f>
        <v>0.65</v>
      </c>
      <c r="G13" s="12" t="n">
        <f aca="false">MAX(0.05,MIN(0.99,Inputs!F4+C13))</f>
        <v>0.95</v>
      </c>
      <c r="H13" s="12" t="n">
        <f aca="false">MAX(0.05,MIN(0.99,Inputs!G4-C13))</f>
        <v>0.3</v>
      </c>
      <c r="I13" s="8" t="n">
        <f aca="false">Inputs!H4</f>
        <v>0.85</v>
      </c>
      <c r="J13" s="9" t="n">
        <f aca="false">Inputs!J4</f>
        <v>9.3</v>
      </c>
      <c r="K13" s="12" t="n">
        <f aca="false">MAX(0.05,MIN(0.99,Inputs!K4-C13))</f>
        <v>0.7</v>
      </c>
      <c r="L13" s="12" t="n">
        <f aca="false">MAX(0.05,MIN(0.99,Inputs!L4-C13))</f>
        <v>0.65</v>
      </c>
      <c r="M13" s="11" t="n">
        <f aca="false">D13*E13*J13*((F13+G13)/2)*I13/H13*Parameters!$B$5</f>
        <v>13016.9</v>
      </c>
      <c r="N13" s="11" t="n">
        <f aca="false">D13*E13*J13*Parameters!$B$4*I13/H13*Parameters!$B$5</f>
        <v>4881.3375</v>
      </c>
      <c r="O13" s="11" t="n">
        <f aca="false">M13-M13*K13*L13</f>
        <v>7094.2105</v>
      </c>
      <c r="P13" s="12" t="n">
        <f aca="false">O13/N13</f>
        <v>1.45333333333333</v>
      </c>
      <c r="Q13" s="14" t="str">
        <f aca="false">IF(P13&lt;Parameters!$B$6,"Below tolerance",IF(P13&lt;=Parameters!$B$7,"Approximately at tolerance","Above tolerance"))</f>
        <v>Above tolerance</v>
      </c>
    </row>
    <row r="14" customFormat="false" ht="15" hidden="false" customHeight="true" outlineLevel="0" collapsed="false">
      <c r="A14" s="14" t="s">
        <v>99</v>
      </c>
      <c r="B14" s="14" t="s">
        <v>310</v>
      </c>
      <c r="C14" s="12" t="n">
        <f aca="false">-1*Parameters!$B$9</f>
        <v>-0.1</v>
      </c>
      <c r="D14" s="12" t="n">
        <f aca="false">MAX(0.05,MIN(0.99,Inputs!C10+C14))</f>
        <v>0.35</v>
      </c>
      <c r="E14" s="12" t="n">
        <f aca="false">MAX(0.05,MIN(0.99,Inputs!D10+C14))</f>
        <v>0.4</v>
      </c>
      <c r="F14" s="12" t="n">
        <f aca="false">MAX(0.05,MIN(0.99,Inputs!E10+C14))</f>
        <v>0.45</v>
      </c>
      <c r="G14" s="12" t="n">
        <f aca="false">MAX(0.05,MIN(0.99,Inputs!F10+C14))</f>
        <v>0.85</v>
      </c>
      <c r="H14" s="12" t="n">
        <f aca="false">MAX(0.05,MIN(0.99,Inputs!G10-C14))</f>
        <v>0.45</v>
      </c>
      <c r="I14" s="8" t="n">
        <f aca="false">Inputs!H10</f>
        <v>0.9</v>
      </c>
      <c r="J14" s="9" t="n">
        <f aca="false">Inputs!J10</f>
        <v>8.7</v>
      </c>
      <c r="K14" s="12" t="n">
        <f aca="false">MAX(0.05,MIN(0.99,Inputs!K10-C14))</f>
        <v>0.8</v>
      </c>
      <c r="L14" s="12" t="n">
        <f aca="false">MAX(0.05,MIN(0.99,Inputs!L10-C14))</f>
        <v>0.7</v>
      </c>
      <c r="M14" s="11" t="n">
        <f aca="false">D14*E14*J14*((F14+G14)/2)*I14/H14*Parameters!$B$5</f>
        <v>1583.4</v>
      </c>
      <c r="N14" s="11" t="n">
        <f aca="false">D14*E14*J14*Parameters!$B$4*I14/H14*Parameters!$B$5</f>
        <v>730.8</v>
      </c>
      <c r="O14" s="11" t="n">
        <f aca="false">M14-M14*K14*L14</f>
        <v>696.696</v>
      </c>
      <c r="P14" s="12" t="n">
        <f aca="false">O14/N14</f>
        <v>0.953333333333334</v>
      </c>
      <c r="Q14" s="14" t="str">
        <f aca="false">IF(P14&lt;Parameters!$B$6,"Below tolerance",IF(P14&lt;=Parameters!$B$7,"Approximately at tolerance","Above tolerance"))</f>
        <v>Approximately at tolerance</v>
      </c>
    </row>
    <row r="15" customFormat="false" ht="15" hidden="false" customHeight="true" outlineLevel="0" collapsed="false">
      <c r="A15" s="14" t="s">
        <v>99</v>
      </c>
      <c r="B15" s="14" t="s">
        <v>311</v>
      </c>
      <c r="C15" s="12" t="n">
        <f aca="false">0*Parameters!$B$9</f>
        <v>0</v>
      </c>
      <c r="D15" s="12" t="n">
        <f aca="false">MAX(0.05,MIN(0.99,Inputs!C10+C15))</f>
        <v>0.45</v>
      </c>
      <c r="E15" s="12" t="n">
        <f aca="false">MAX(0.05,MIN(0.99,Inputs!D10+C15))</f>
        <v>0.5</v>
      </c>
      <c r="F15" s="12" t="n">
        <f aca="false">MAX(0.05,MIN(0.99,Inputs!E10+C15))</f>
        <v>0.55</v>
      </c>
      <c r="G15" s="12" t="n">
        <f aca="false">MAX(0.05,MIN(0.99,Inputs!F10+C15))</f>
        <v>0.95</v>
      </c>
      <c r="H15" s="12" t="n">
        <f aca="false">MAX(0.05,MIN(0.99,Inputs!G10-C15))</f>
        <v>0.35</v>
      </c>
      <c r="I15" s="8" t="n">
        <f aca="false">Inputs!H10</f>
        <v>0.9</v>
      </c>
      <c r="J15" s="9" t="n">
        <f aca="false">Inputs!J10</f>
        <v>8.7</v>
      </c>
      <c r="K15" s="12" t="n">
        <f aca="false">MAX(0.05,MIN(0.99,Inputs!K10-C15))</f>
        <v>0.7</v>
      </c>
      <c r="L15" s="12" t="n">
        <f aca="false">MAX(0.05,MIN(0.99,Inputs!L10-C15))</f>
        <v>0.6</v>
      </c>
      <c r="M15" s="11" t="n">
        <f aca="false">D15*E15*J15*((F15+G15)/2)*I15/H15*Parameters!$B$5</f>
        <v>3775.17857142857</v>
      </c>
      <c r="N15" s="11" t="n">
        <f aca="false">D15*E15*J15*Parameters!$B$4*I15/H15*Parameters!$B$5</f>
        <v>1510.07142857143</v>
      </c>
      <c r="O15" s="11" t="n">
        <f aca="false">M15-M15*K15*L15</f>
        <v>2189.60357142857</v>
      </c>
      <c r="P15" s="12" t="n">
        <f aca="false">O15/N15</f>
        <v>1.45</v>
      </c>
      <c r="Q15" s="14" t="str">
        <f aca="false">IF(P15&lt;Parameters!$B$6,"Below tolerance",IF(P15&lt;=Parameters!$B$7,"Approximately at tolerance","Above tolerance"))</f>
        <v>Above tolerance</v>
      </c>
    </row>
    <row r="16" customFormat="false" ht="15" hidden="false" customHeight="true" outlineLevel="0" collapsed="false">
      <c r="A16" s="14" t="s">
        <v>99</v>
      </c>
      <c r="B16" s="14" t="s">
        <v>312</v>
      </c>
      <c r="C16" s="12" t="n">
        <f aca="false">1*Parameters!$B$9</f>
        <v>0.1</v>
      </c>
      <c r="D16" s="12" t="n">
        <f aca="false">MAX(0.05,MIN(0.99,Inputs!C10+C16))</f>
        <v>0.55</v>
      </c>
      <c r="E16" s="12" t="n">
        <f aca="false">MAX(0.05,MIN(0.99,Inputs!D10+C16))</f>
        <v>0.6</v>
      </c>
      <c r="F16" s="12" t="n">
        <f aca="false">MAX(0.05,MIN(0.99,Inputs!E10+C16))</f>
        <v>0.65</v>
      </c>
      <c r="G16" s="12" t="n">
        <f aca="false">MAX(0.05,MIN(0.99,Inputs!F10+C16))</f>
        <v>0.99</v>
      </c>
      <c r="H16" s="12" t="n">
        <f aca="false">MAX(0.05,MIN(0.99,Inputs!G10-C16))</f>
        <v>0.25</v>
      </c>
      <c r="I16" s="8" t="n">
        <f aca="false">Inputs!H10</f>
        <v>0.9</v>
      </c>
      <c r="J16" s="9" t="n">
        <f aca="false">Inputs!J10</f>
        <v>8.7</v>
      </c>
      <c r="K16" s="12" t="n">
        <f aca="false">MAX(0.05,MIN(0.99,Inputs!K10-C16))</f>
        <v>0.6</v>
      </c>
      <c r="L16" s="12" t="n">
        <f aca="false">MAX(0.05,MIN(0.99,Inputs!L10-C16))</f>
        <v>0.5</v>
      </c>
      <c r="M16" s="11" t="n">
        <f aca="false">D16*E16*J16*((F16+G16)/2)*I16/H16*Parameters!$B$5</f>
        <v>8475.192</v>
      </c>
      <c r="N16" s="11" t="n">
        <f aca="false">D16*E16*J16*Parameters!$B$4*I16/H16*Parameters!$B$5</f>
        <v>3100.68</v>
      </c>
      <c r="O16" s="11" t="n">
        <f aca="false">M16-M16*K16*L16</f>
        <v>5932.6344</v>
      </c>
      <c r="P16" s="12" t="n">
        <f aca="false">O16/N16</f>
        <v>1.91333333333333</v>
      </c>
      <c r="Q16" s="14" t="str">
        <f aca="false">IF(P16&lt;Parameters!$B$6,"Below tolerance",IF(P16&lt;=Parameters!$B$7,"Approximately at tolerance","Above tolerance"))</f>
        <v>Above tolerance</v>
      </c>
    </row>
    <row r="17" customFormat="false" ht="15" hidden="false" customHeight="true" outlineLevel="0" collapsed="false">
      <c r="A17" s="14" t="s">
        <v>105</v>
      </c>
      <c r="B17" s="14" t="s">
        <v>310</v>
      </c>
      <c r="C17" s="12" t="n">
        <f aca="false">-1*Parameters!$B$9</f>
        <v>-0.1</v>
      </c>
      <c r="D17" s="12" t="n">
        <f aca="false">MAX(0.05,MIN(0.99,Inputs!C12+C17))</f>
        <v>0.45</v>
      </c>
      <c r="E17" s="12" t="n">
        <f aca="false">MAX(0.05,MIN(0.99,Inputs!D12+C17))</f>
        <v>0.35</v>
      </c>
      <c r="F17" s="12" t="n">
        <f aca="false">MAX(0.05,MIN(0.99,Inputs!E12+C17))</f>
        <v>0.5</v>
      </c>
      <c r="G17" s="12" t="n">
        <f aca="false">MAX(0.05,MIN(0.99,Inputs!F12+C17))</f>
        <v>0.8</v>
      </c>
      <c r="H17" s="12" t="n">
        <f aca="false">MAX(0.05,MIN(0.99,Inputs!G12-C17))</f>
        <v>0.45</v>
      </c>
      <c r="I17" s="8" t="n">
        <f aca="false">Inputs!H12</f>
        <v>0.85</v>
      </c>
      <c r="J17" s="9" t="n">
        <f aca="false">Inputs!J12</f>
        <v>9</v>
      </c>
      <c r="K17" s="12" t="n">
        <f aca="false">MAX(0.05,MIN(0.99,Inputs!K12-C17))</f>
        <v>0.65</v>
      </c>
      <c r="L17" s="12" t="n">
        <f aca="false">MAX(0.05,MIN(0.99,Inputs!L12-C17))</f>
        <v>0.8</v>
      </c>
      <c r="M17" s="11" t="n">
        <f aca="false">D17*E17*J17*((F17+G17)/2)*I17/H17*Parameters!$B$5</f>
        <v>1740.375</v>
      </c>
      <c r="N17" s="11" t="n">
        <f aca="false">D17*E17*J17*Parameters!$B$4*I17/H17*Parameters!$B$5</f>
        <v>803.25</v>
      </c>
      <c r="O17" s="11" t="n">
        <f aca="false">M17-M17*K17*L17</f>
        <v>835.38</v>
      </c>
      <c r="P17" s="12" t="n">
        <f aca="false">O17/N17</f>
        <v>1.04</v>
      </c>
      <c r="Q17" s="14" t="str">
        <f aca="false">IF(P17&lt;Parameters!$B$6,"Below tolerance",IF(P17&lt;=Parameters!$B$7,"Approximately at tolerance","Above tolerance"))</f>
        <v>Approximately at tolerance</v>
      </c>
    </row>
    <row r="18" customFormat="false" ht="15" hidden="false" customHeight="true" outlineLevel="0" collapsed="false">
      <c r="A18" s="14" t="s">
        <v>105</v>
      </c>
      <c r="B18" s="14" t="s">
        <v>311</v>
      </c>
      <c r="C18" s="12" t="n">
        <f aca="false">0*Parameters!$B$9</f>
        <v>0</v>
      </c>
      <c r="D18" s="12" t="n">
        <f aca="false">MAX(0.05,MIN(0.99,Inputs!C12+C18))</f>
        <v>0.55</v>
      </c>
      <c r="E18" s="12" t="n">
        <f aca="false">MAX(0.05,MIN(0.99,Inputs!D12+C18))</f>
        <v>0.45</v>
      </c>
      <c r="F18" s="12" t="n">
        <f aca="false">MAX(0.05,MIN(0.99,Inputs!E12+C18))</f>
        <v>0.6</v>
      </c>
      <c r="G18" s="12" t="n">
        <f aca="false">MAX(0.05,MIN(0.99,Inputs!F12+C18))</f>
        <v>0.9</v>
      </c>
      <c r="H18" s="12" t="n">
        <f aca="false">MAX(0.05,MIN(0.99,Inputs!G12-C18))</f>
        <v>0.35</v>
      </c>
      <c r="I18" s="8" t="n">
        <f aca="false">Inputs!H12</f>
        <v>0.85</v>
      </c>
      <c r="J18" s="9" t="n">
        <f aca="false">Inputs!J12</f>
        <v>9</v>
      </c>
      <c r="K18" s="12" t="n">
        <f aca="false">MAX(0.05,MIN(0.99,Inputs!K12-C18))</f>
        <v>0.55</v>
      </c>
      <c r="L18" s="12" t="n">
        <f aca="false">MAX(0.05,MIN(0.99,Inputs!L12-C18))</f>
        <v>0.7</v>
      </c>
      <c r="M18" s="11" t="n">
        <f aca="false">D18*E18*J18*((F18+G18)/2)*I18/H18*Parameters!$B$5</f>
        <v>4057.23214285714</v>
      </c>
      <c r="N18" s="11" t="n">
        <f aca="false">D18*E18*J18*Parameters!$B$4*I18/H18*Parameters!$B$5</f>
        <v>1622.89285714286</v>
      </c>
      <c r="O18" s="11" t="n">
        <f aca="false">M18-M18*K18*L18</f>
        <v>2495.19776785714</v>
      </c>
      <c r="P18" s="12" t="n">
        <f aca="false">O18/N18</f>
        <v>1.5375</v>
      </c>
      <c r="Q18" s="14" t="str">
        <f aca="false">IF(P18&lt;Parameters!$B$6,"Below tolerance",IF(P18&lt;=Parameters!$B$7,"Approximately at tolerance","Above tolerance"))</f>
        <v>Above tolerance</v>
      </c>
    </row>
    <row r="19" customFormat="false" ht="15" hidden="false" customHeight="true" outlineLevel="0" collapsed="false">
      <c r="A19" s="14" t="s">
        <v>105</v>
      </c>
      <c r="B19" s="14" t="s">
        <v>312</v>
      </c>
      <c r="C19" s="12" t="n">
        <f aca="false">1*Parameters!$B$9</f>
        <v>0.1</v>
      </c>
      <c r="D19" s="12" t="n">
        <f aca="false">MAX(0.05,MIN(0.99,Inputs!C12+C19))</f>
        <v>0.65</v>
      </c>
      <c r="E19" s="12" t="n">
        <f aca="false">MAX(0.05,MIN(0.99,Inputs!D12+C19))</f>
        <v>0.55</v>
      </c>
      <c r="F19" s="12" t="n">
        <f aca="false">MAX(0.05,MIN(0.99,Inputs!E12+C19))</f>
        <v>0.7</v>
      </c>
      <c r="G19" s="12" t="n">
        <f aca="false">MAX(0.05,MIN(0.99,Inputs!F12+C19))</f>
        <v>0.99</v>
      </c>
      <c r="H19" s="12" t="n">
        <f aca="false">MAX(0.05,MIN(0.99,Inputs!G12-C19))</f>
        <v>0.25</v>
      </c>
      <c r="I19" s="8" t="n">
        <f aca="false">Inputs!H12</f>
        <v>0.85</v>
      </c>
      <c r="J19" s="9" t="n">
        <f aca="false">Inputs!J12</f>
        <v>9</v>
      </c>
      <c r="K19" s="12" t="n">
        <f aca="false">MAX(0.05,MIN(0.99,Inputs!K12-C19))</f>
        <v>0.45</v>
      </c>
      <c r="L19" s="12" t="n">
        <f aca="false">MAX(0.05,MIN(0.99,Inputs!L12-C19))</f>
        <v>0.6</v>
      </c>
      <c r="M19" s="11" t="n">
        <f aca="false">D19*E19*J19*((F19+G19)/2)*I19/H19*Parameters!$B$5</f>
        <v>9243.8775</v>
      </c>
      <c r="N19" s="11" t="n">
        <f aca="false">D19*E19*J19*Parameters!$B$4*I19/H19*Parameters!$B$5</f>
        <v>3281.85</v>
      </c>
      <c r="O19" s="11" t="n">
        <f aca="false">M19-M19*K19*L19</f>
        <v>6748.030575</v>
      </c>
      <c r="P19" s="12" t="n">
        <f aca="false">O19/N19</f>
        <v>2.05616666666667</v>
      </c>
      <c r="Q19" s="14" t="str">
        <f aca="false">IF(P19&lt;Parameters!$B$6,"Below tolerance",IF(P19&lt;=Parameters!$B$7,"Approximately at tolerance","Above tolerance"))</f>
        <v>Above tolerance</v>
      </c>
    </row>
    <row r="20" customFormat="false" ht="15" hidden="false" customHeight="true" outlineLevel="0" collapsed="false">
      <c r="A20" s="14" t="s">
        <v>126</v>
      </c>
      <c r="B20" s="14" t="s">
        <v>310</v>
      </c>
      <c r="C20" s="12" t="n">
        <f aca="false">-1*Parameters!$B$9</f>
        <v>-0.1</v>
      </c>
      <c r="D20" s="12" t="n">
        <f aca="false">MAX(0.05,MIN(0.99,Inputs!C19+C20))</f>
        <v>0.25</v>
      </c>
      <c r="E20" s="12" t="n">
        <f aca="false">MAX(0.05,MIN(0.99,Inputs!D19+C20))</f>
        <v>0.4</v>
      </c>
      <c r="F20" s="12" t="n">
        <f aca="false">MAX(0.05,MIN(0.99,Inputs!E19+C20))</f>
        <v>0.45</v>
      </c>
      <c r="G20" s="12" t="n">
        <f aca="false">MAX(0.05,MIN(0.99,Inputs!F19+C20))</f>
        <v>0.75</v>
      </c>
      <c r="H20" s="12" t="n">
        <f aca="false">MAX(0.05,MIN(0.99,Inputs!G19-C20))</f>
        <v>0.45</v>
      </c>
      <c r="I20" s="8" t="n">
        <f aca="false">Inputs!H19</f>
        <v>0.95</v>
      </c>
      <c r="J20" s="9" t="n">
        <f aca="false">Inputs!J19</f>
        <v>8.9</v>
      </c>
      <c r="K20" s="12" t="n">
        <f aca="false">MAX(0.05,MIN(0.99,Inputs!K19-C20))</f>
        <v>0.8</v>
      </c>
      <c r="L20" s="12" t="n">
        <f aca="false">MAX(0.05,MIN(0.99,Inputs!L19-C20))</f>
        <v>0.75</v>
      </c>
      <c r="M20" s="11" t="n">
        <f aca="false">D20*E20*J20*((F20+G20)/2)*I20/H20*Parameters!$B$5</f>
        <v>1127.33333333333</v>
      </c>
      <c r="N20" s="11" t="n">
        <f aca="false">D20*E20*J20*Parameters!$B$4*I20/H20*Parameters!$B$5</f>
        <v>563.666666666667</v>
      </c>
      <c r="O20" s="11" t="n">
        <f aca="false">M20-M20*K20*L20</f>
        <v>450.933333333334</v>
      </c>
      <c r="P20" s="12" t="n">
        <f aca="false">O20/N20</f>
        <v>0.8</v>
      </c>
      <c r="Q20" s="14" t="str">
        <f aca="false">IF(P20&lt;Parameters!$B$6,"Below tolerance",IF(P20&lt;=Parameters!$B$7,"Approximately at tolerance","Above tolerance"))</f>
        <v>Below tolerance</v>
      </c>
    </row>
    <row r="21" customFormat="false" ht="15" hidden="false" customHeight="true" outlineLevel="0" collapsed="false">
      <c r="A21" s="14" t="s">
        <v>126</v>
      </c>
      <c r="B21" s="14" t="s">
        <v>311</v>
      </c>
      <c r="C21" s="12" t="n">
        <f aca="false">0*Parameters!$B$9</f>
        <v>0</v>
      </c>
      <c r="D21" s="12" t="n">
        <f aca="false">MAX(0.05,MIN(0.99,Inputs!C19+C21))</f>
        <v>0.35</v>
      </c>
      <c r="E21" s="12" t="n">
        <f aca="false">MAX(0.05,MIN(0.99,Inputs!D19+C21))</f>
        <v>0.5</v>
      </c>
      <c r="F21" s="12" t="n">
        <f aca="false">MAX(0.05,MIN(0.99,Inputs!E19+C21))</f>
        <v>0.55</v>
      </c>
      <c r="G21" s="12" t="n">
        <f aca="false">MAX(0.05,MIN(0.99,Inputs!F19+C21))</f>
        <v>0.85</v>
      </c>
      <c r="H21" s="12" t="n">
        <f aca="false">MAX(0.05,MIN(0.99,Inputs!G19-C21))</f>
        <v>0.35</v>
      </c>
      <c r="I21" s="8" t="n">
        <f aca="false">Inputs!H19</f>
        <v>0.95</v>
      </c>
      <c r="J21" s="9" t="n">
        <f aca="false">Inputs!J19</f>
        <v>8.9</v>
      </c>
      <c r="K21" s="12" t="n">
        <f aca="false">MAX(0.05,MIN(0.99,Inputs!K19-C21))</f>
        <v>0.7</v>
      </c>
      <c r="L21" s="12" t="n">
        <f aca="false">MAX(0.05,MIN(0.99,Inputs!L19-C21))</f>
        <v>0.65</v>
      </c>
      <c r="M21" s="11" t="n">
        <f aca="false">D21*E21*J21*((F21+G21)/2)*I21/H21*Parameters!$B$5</f>
        <v>2959.25</v>
      </c>
      <c r="N21" s="11" t="n">
        <f aca="false">D21*E21*J21*Parameters!$B$4*I21/H21*Parameters!$B$5</f>
        <v>1268.25</v>
      </c>
      <c r="O21" s="11" t="n">
        <f aca="false">M21-M21*K21*L21</f>
        <v>1612.79125</v>
      </c>
      <c r="P21" s="12" t="n">
        <f aca="false">O21/N21</f>
        <v>1.27166666666667</v>
      </c>
      <c r="Q21" s="14" t="str">
        <f aca="false">IF(P21&lt;Parameters!$B$6,"Below tolerance",IF(P21&lt;=Parameters!$B$7,"Approximately at tolerance","Above tolerance"))</f>
        <v>Above tolerance</v>
      </c>
    </row>
    <row r="22" customFormat="false" ht="15" hidden="false" customHeight="true" outlineLevel="0" collapsed="false">
      <c r="A22" s="14" t="s">
        <v>126</v>
      </c>
      <c r="B22" s="14" t="s">
        <v>312</v>
      </c>
      <c r="C22" s="12" t="n">
        <f aca="false">1*Parameters!$B$9</f>
        <v>0.1</v>
      </c>
      <c r="D22" s="12" t="n">
        <f aca="false">MAX(0.05,MIN(0.99,Inputs!C19+C22))</f>
        <v>0.45</v>
      </c>
      <c r="E22" s="12" t="n">
        <f aca="false">MAX(0.05,MIN(0.99,Inputs!D19+C22))</f>
        <v>0.6</v>
      </c>
      <c r="F22" s="12" t="n">
        <f aca="false">MAX(0.05,MIN(0.99,Inputs!E19+C22))</f>
        <v>0.65</v>
      </c>
      <c r="G22" s="12" t="n">
        <f aca="false">MAX(0.05,MIN(0.99,Inputs!F19+C22))</f>
        <v>0.95</v>
      </c>
      <c r="H22" s="12" t="n">
        <f aca="false">MAX(0.05,MIN(0.99,Inputs!G19-C22))</f>
        <v>0.25</v>
      </c>
      <c r="I22" s="8" t="n">
        <f aca="false">Inputs!H19</f>
        <v>0.95</v>
      </c>
      <c r="J22" s="9" t="n">
        <f aca="false">Inputs!J19</f>
        <v>8.9</v>
      </c>
      <c r="K22" s="12" t="n">
        <f aca="false">MAX(0.05,MIN(0.99,Inputs!K19-C22))</f>
        <v>0.6</v>
      </c>
      <c r="L22" s="12" t="n">
        <f aca="false">MAX(0.05,MIN(0.99,Inputs!L19-C22))</f>
        <v>0.55</v>
      </c>
      <c r="M22" s="11" t="n">
        <f aca="false">D22*E22*J22*((F22+G22)/2)*I22/H22*Parameters!$B$5</f>
        <v>7305.12</v>
      </c>
      <c r="N22" s="11" t="n">
        <f aca="false">D22*E22*J22*Parameters!$B$4*I22/H22*Parameters!$B$5</f>
        <v>2739.42</v>
      </c>
      <c r="O22" s="11" t="n">
        <f aca="false">M22-M22*K22*L22</f>
        <v>4894.4304</v>
      </c>
      <c r="P22" s="12" t="n">
        <f aca="false">O22/N22</f>
        <v>1.78666666666667</v>
      </c>
      <c r="Q22" s="14" t="str">
        <f aca="false">IF(P22&lt;Parameters!$B$6,"Below tolerance",IF(P22&lt;=Parameters!$B$7,"Approximately at tolerance","Above tolerance"))</f>
        <v>Above tolerance</v>
      </c>
    </row>
    <row r="23" customFormat="false" ht="15" hidden="false" customHeight="true" outlineLevel="0" collapsed="false">
      <c r="A23" s="14" t="s">
        <v>134</v>
      </c>
      <c r="B23" s="14" t="s">
        <v>310</v>
      </c>
      <c r="C23" s="12" t="n">
        <f aca="false">-1*Parameters!$B$9</f>
        <v>-0.1</v>
      </c>
      <c r="D23" s="12" t="n">
        <f aca="false">MAX(0.05,MIN(0.99,Inputs!C22+C23))</f>
        <v>0.15</v>
      </c>
      <c r="E23" s="12" t="n">
        <f aca="false">MAX(0.05,MIN(0.99,Inputs!D22+C23))</f>
        <v>0.4</v>
      </c>
      <c r="F23" s="12" t="n">
        <f aca="false">MAX(0.05,MIN(0.99,Inputs!E22+C23))</f>
        <v>0.5</v>
      </c>
      <c r="G23" s="12" t="n">
        <f aca="false">MAX(0.05,MIN(0.99,Inputs!F22+C23))</f>
        <v>0.85</v>
      </c>
      <c r="H23" s="12" t="n">
        <f aca="false">MAX(0.05,MIN(0.99,Inputs!G22-C23))</f>
        <v>0.45</v>
      </c>
      <c r="I23" s="8" t="n">
        <f aca="false">Inputs!H22</f>
        <v>0.85</v>
      </c>
      <c r="J23" s="9" t="n">
        <f aca="false">Inputs!J22</f>
        <v>9.5</v>
      </c>
      <c r="K23" s="12" t="n">
        <f aca="false">MAX(0.05,MIN(0.99,Inputs!K22-C23))</f>
        <v>0.5</v>
      </c>
      <c r="L23" s="12" t="n">
        <f aca="false">MAX(0.05,MIN(0.99,Inputs!L22-C23))</f>
        <v>0.75</v>
      </c>
      <c r="M23" s="11" t="n">
        <f aca="false">D23*E23*J23*((F23+G23)/2)*I23/H23*Parameters!$B$5</f>
        <v>726.75</v>
      </c>
      <c r="N23" s="11" t="n">
        <f aca="false">D23*E23*J23*Parameters!$B$4*I23/H23*Parameters!$B$5</f>
        <v>323</v>
      </c>
      <c r="O23" s="11" t="n">
        <f aca="false">M23-M23*K23*L23</f>
        <v>454.21875</v>
      </c>
      <c r="P23" s="12" t="n">
        <f aca="false">O23/N23</f>
        <v>1.40625</v>
      </c>
      <c r="Q23" s="14" t="str">
        <f aca="false">IF(P23&lt;Parameters!$B$6,"Below tolerance",IF(P23&lt;=Parameters!$B$7,"Approximately at tolerance","Above tolerance"))</f>
        <v>Above tolerance</v>
      </c>
    </row>
    <row r="24" customFormat="false" ht="15" hidden="false" customHeight="true" outlineLevel="0" collapsed="false">
      <c r="A24" s="14" t="s">
        <v>134</v>
      </c>
      <c r="B24" s="14" t="s">
        <v>311</v>
      </c>
      <c r="C24" s="12" t="n">
        <f aca="false">0*Parameters!$B$9</f>
        <v>0</v>
      </c>
      <c r="D24" s="12" t="n">
        <f aca="false">MAX(0.05,MIN(0.99,Inputs!C22+C24))</f>
        <v>0.25</v>
      </c>
      <c r="E24" s="12" t="n">
        <f aca="false">MAX(0.05,MIN(0.99,Inputs!D22+C24))</f>
        <v>0.5</v>
      </c>
      <c r="F24" s="12" t="n">
        <f aca="false">MAX(0.05,MIN(0.99,Inputs!E22+C24))</f>
        <v>0.6</v>
      </c>
      <c r="G24" s="12" t="n">
        <f aca="false">MAX(0.05,MIN(0.99,Inputs!F22+C24))</f>
        <v>0.95</v>
      </c>
      <c r="H24" s="12" t="n">
        <f aca="false">MAX(0.05,MIN(0.99,Inputs!G22-C24))</f>
        <v>0.35</v>
      </c>
      <c r="I24" s="8" t="n">
        <f aca="false">Inputs!H22</f>
        <v>0.85</v>
      </c>
      <c r="J24" s="9" t="n">
        <f aca="false">Inputs!J22</f>
        <v>9.5</v>
      </c>
      <c r="K24" s="12" t="n">
        <f aca="false">MAX(0.05,MIN(0.99,Inputs!K22-C24))</f>
        <v>0.4</v>
      </c>
      <c r="L24" s="12" t="n">
        <f aca="false">MAX(0.05,MIN(0.99,Inputs!L22-C24))</f>
        <v>0.65</v>
      </c>
      <c r="M24" s="11" t="n">
        <f aca="false">D24*E24*J24*((F24+G24)/2)*I24/H24*Parameters!$B$5</f>
        <v>2235.04464285714</v>
      </c>
      <c r="N24" s="11" t="n">
        <f aca="false">D24*E24*J24*Parameters!$B$4*I24/H24*Parameters!$B$5</f>
        <v>865.178571428571</v>
      </c>
      <c r="O24" s="11" t="n">
        <f aca="false">M24-M24*K24*L24</f>
        <v>1653.93303571429</v>
      </c>
      <c r="P24" s="12" t="n">
        <f aca="false">O24/N24</f>
        <v>1.91166666666667</v>
      </c>
      <c r="Q24" s="14" t="str">
        <f aca="false">IF(P24&lt;Parameters!$B$6,"Below tolerance",IF(P24&lt;=Parameters!$B$7,"Approximately at tolerance","Above tolerance"))</f>
        <v>Above tolerance</v>
      </c>
    </row>
    <row r="25" customFormat="false" ht="15" hidden="false" customHeight="true" outlineLevel="0" collapsed="false">
      <c r="A25" s="14" t="s">
        <v>134</v>
      </c>
      <c r="B25" s="14" t="s">
        <v>312</v>
      </c>
      <c r="C25" s="12" t="n">
        <f aca="false">1*Parameters!$B$9</f>
        <v>0.1</v>
      </c>
      <c r="D25" s="12" t="n">
        <f aca="false">MAX(0.05,MIN(0.99,Inputs!C22+C25))</f>
        <v>0.35</v>
      </c>
      <c r="E25" s="12" t="n">
        <f aca="false">MAX(0.05,MIN(0.99,Inputs!D22+C25))</f>
        <v>0.6</v>
      </c>
      <c r="F25" s="12" t="n">
        <f aca="false">MAX(0.05,MIN(0.99,Inputs!E22+C25))</f>
        <v>0.7</v>
      </c>
      <c r="G25" s="12" t="n">
        <f aca="false">MAX(0.05,MIN(0.99,Inputs!F22+C25))</f>
        <v>0.99</v>
      </c>
      <c r="H25" s="12" t="n">
        <f aca="false">MAX(0.05,MIN(0.99,Inputs!G22-C25))</f>
        <v>0.25</v>
      </c>
      <c r="I25" s="8" t="n">
        <f aca="false">Inputs!H22</f>
        <v>0.85</v>
      </c>
      <c r="J25" s="9" t="n">
        <f aca="false">Inputs!J22</f>
        <v>9.5</v>
      </c>
      <c r="K25" s="12" t="n">
        <f aca="false">MAX(0.05,MIN(0.99,Inputs!K22-C25))</f>
        <v>0.3</v>
      </c>
      <c r="L25" s="12" t="n">
        <f aca="false">MAX(0.05,MIN(0.99,Inputs!L22-C25))</f>
        <v>0.55</v>
      </c>
      <c r="M25" s="11" t="n">
        <f aca="false">D25*E25*J25*((F25+G25)/2)*I25/H25*Parameters!$B$5</f>
        <v>5731.635</v>
      </c>
      <c r="N25" s="11" t="n">
        <f aca="false">D25*E25*J25*Parameters!$B$4*I25/H25*Parameters!$B$5</f>
        <v>2034.9</v>
      </c>
      <c r="O25" s="11" t="n">
        <f aca="false">M25-M25*K25*L25</f>
        <v>4785.915225</v>
      </c>
      <c r="P25" s="12" t="n">
        <f aca="false">O25/N25</f>
        <v>2.35191666666667</v>
      </c>
      <c r="Q25" s="14" t="str">
        <f aca="false">IF(P25&lt;Parameters!$B$6,"Below tolerance",IF(P25&lt;=Parameters!$B$7,"Approximately at tolerance","Above tolerance"))</f>
        <v>Above tolerance</v>
      </c>
    </row>
    <row r="26" customFormat="false" ht="15" hidden="false" customHeight="true" outlineLevel="0" collapsed="false">
      <c r="A26" s="14" t="s">
        <v>137</v>
      </c>
      <c r="B26" s="14" t="s">
        <v>310</v>
      </c>
      <c r="C26" s="12" t="n">
        <f aca="false">-1*Parameters!$B$9</f>
        <v>-0.1</v>
      </c>
      <c r="D26" s="12" t="n">
        <f aca="false">MAX(0.05,MIN(0.99,Inputs!C23+C26))</f>
        <v>0.45</v>
      </c>
      <c r="E26" s="12" t="n">
        <f aca="false">MAX(0.05,MIN(0.99,Inputs!D23+C26))</f>
        <v>0.3</v>
      </c>
      <c r="F26" s="12" t="n">
        <f aca="false">MAX(0.05,MIN(0.99,Inputs!E23+C26))</f>
        <v>0.45</v>
      </c>
      <c r="G26" s="12" t="n">
        <f aca="false">MAX(0.05,MIN(0.99,Inputs!F23+C26))</f>
        <v>0.8</v>
      </c>
      <c r="H26" s="12" t="n">
        <f aca="false">MAX(0.05,MIN(0.99,Inputs!G23-C26))</f>
        <v>0.5</v>
      </c>
      <c r="I26" s="8" t="n">
        <f aca="false">Inputs!H23</f>
        <v>0.85</v>
      </c>
      <c r="J26" s="9" t="n">
        <f aca="false">Inputs!J23</f>
        <v>9.4</v>
      </c>
      <c r="K26" s="12" t="n">
        <f aca="false">MAX(0.05,MIN(0.99,Inputs!K23-C26))</f>
        <v>0.9</v>
      </c>
      <c r="L26" s="12" t="n">
        <f aca="false">MAX(0.05,MIN(0.99,Inputs!L23-C26))</f>
        <v>0.75</v>
      </c>
      <c r="M26" s="11" t="n">
        <f aca="false">D26*E26*J26*((F26+G26)/2)*I26/H26*Parameters!$B$5</f>
        <v>1348.3125</v>
      </c>
      <c r="N26" s="11" t="n">
        <f aca="false">D26*E26*J26*Parameters!$B$4*I26/H26*Parameters!$B$5</f>
        <v>647.19</v>
      </c>
      <c r="O26" s="11" t="n">
        <f aca="false">M26-M26*K26*L26</f>
        <v>438.2015625</v>
      </c>
      <c r="P26" s="12" t="n">
        <f aca="false">O26/N26</f>
        <v>0.677083333333333</v>
      </c>
      <c r="Q26" s="14" t="str">
        <f aca="false">IF(P26&lt;Parameters!$B$6,"Below tolerance",IF(P26&lt;=Parameters!$B$7,"Approximately at tolerance","Above tolerance"))</f>
        <v>Below tolerance</v>
      </c>
    </row>
    <row r="27" customFormat="false" ht="15" hidden="false" customHeight="true" outlineLevel="0" collapsed="false">
      <c r="A27" s="14" t="s">
        <v>137</v>
      </c>
      <c r="B27" s="14" t="s">
        <v>311</v>
      </c>
      <c r="C27" s="12" t="n">
        <f aca="false">0*Parameters!$B$9</f>
        <v>0</v>
      </c>
      <c r="D27" s="12" t="n">
        <f aca="false">MAX(0.05,MIN(0.99,Inputs!C23+C27))</f>
        <v>0.55</v>
      </c>
      <c r="E27" s="12" t="n">
        <f aca="false">MAX(0.05,MIN(0.99,Inputs!D23+C27))</f>
        <v>0.4</v>
      </c>
      <c r="F27" s="12" t="n">
        <f aca="false">MAX(0.05,MIN(0.99,Inputs!E23+C27))</f>
        <v>0.55</v>
      </c>
      <c r="G27" s="12" t="n">
        <f aca="false">MAX(0.05,MIN(0.99,Inputs!F23+C27))</f>
        <v>0.9</v>
      </c>
      <c r="H27" s="12" t="n">
        <f aca="false">MAX(0.05,MIN(0.99,Inputs!G23-C27))</f>
        <v>0.4</v>
      </c>
      <c r="I27" s="8" t="n">
        <f aca="false">Inputs!H23</f>
        <v>0.85</v>
      </c>
      <c r="J27" s="9" t="n">
        <f aca="false">Inputs!J23</f>
        <v>9.4</v>
      </c>
      <c r="K27" s="12" t="n">
        <f aca="false">MAX(0.05,MIN(0.99,Inputs!K23-C27))</f>
        <v>0.8</v>
      </c>
      <c r="L27" s="12" t="n">
        <f aca="false">MAX(0.05,MIN(0.99,Inputs!L23-C27))</f>
        <v>0.65</v>
      </c>
      <c r="M27" s="11" t="n">
        <f aca="false">D27*E27*J27*((F27+G27)/2)*I27/H27*Parameters!$B$5</f>
        <v>3186.0125</v>
      </c>
      <c r="N27" s="11" t="n">
        <f aca="false">D27*E27*J27*Parameters!$B$4*I27/H27*Parameters!$B$5</f>
        <v>1318.35</v>
      </c>
      <c r="O27" s="11" t="n">
        <f aca="false">M27-M27*K27*L27</f>
        <v>1529.286</v>
      </c>
      <c r="P27" s="12" t="n">
        <f aca="false">O27/N27</f>
        <v>1.16</v>
      </c>
      <c r="Q27" s="14" t="str">
        <f aca="false">IF(P27&lt;Parameters!$B$6,"Below tolerance",IF(P27&lt;=Parameters!$B$7,"Approximately at tolerance","Above tolerance"))</f>
        <v>Above tolerance</v>
      </c>
    </row>
    <row r="28" customFormat="false" ht="15" hidden="false" customHeight="true" outlineLevel="0" collapsed="false">
      <c r="A28" s="14" t="s">
        <v>137</v>
      </c>
      <c r="B28" s="14" t="s">
        <v>312</v>
      </c>
      <c r="C28" s="12" t="n">
        <f aca="false">1*Parameters!$B$9</f>
        <v>0.1</v>
      </c>
      <c r="D28" s="12" t="n">
        <f aca="false">MAX(0.05,MIN(0.99,Inputs!C23+C28))</f>
        <v>0.65</v>
      </c>
      <c r="E28" s="12" t="n">
        <f aca="false">MAX(0.05,MIN(0.99,Inputs!D23+C28))</f>
        <v>0.5</v>
      </c>
      <c r="F28" s="12" t="n">
        <f aca="false">MAX(0.05,MIN(0.99,Inputs!E23+C28))</f>
        <v>0.65</v>
      </c>
      <c r="G28" s="12" t="n">
        <f aca="false">MAX(0.05,MIN(0.99,Inputs!F23+C28))</f>
        <v>0.99</v>
      </c>
      <c r="H28" s="12" t="n">
        <f aca="false">MAX(0.05,MIN(0.99,Inputs!G23-C28))</f>
        <v>0.3</v>
      </c>
      <c r="I28" s="8" t="n">
        <f aca="false">Inputs!H23</f>
        <v>0.85</v>
      </c>
      <c r="J28" s="9" t="n">
        <f aca="false">Inputs!J23</f>
        <v>9.4</v>
      </c>
      <c r="K28" s="12" t="n">
        <f aca="false">MAX(0.05,MIN(0.99,Inputs!K23-C28))</f>
        <v>0.7</v>
      </c>
      <c r="L28" s="12" t="n">
        <f aca="false">MAX(0.05,MIN(0.99,Inputs!L23-C28))</f>
        <v>0.55</v>
      </c>
      <c r="M28" s="11" t="n">
        <f aca="false">D28*E28*J28*((F28+G28)/2)*I28/H28*Parameters!$B$5</f>
        <v>7097.78333333333</v>
      </c>
      <c r="N28" s="11" t="n">
        <f aca="false">D28*E28*J28*Parameters!$B$4*I28/H28*Parameters!$B$5</f>
        <v>2596.75</v>
      </c>
      <c r="O28" s="11" t="n">
        <f aca="false">M28-M28*K28*L28</f>
        <v>4365.13675</v>
      </c>
      <c r="P28" s="12" t="n">
        <f aca="false">O28/N28</f>
        <v>1.681</v>
      </c>
      <c r="Q28" s="14" t="str">
        <f aca="false">IF(P28&lt;Parameters!$B$6,"Below tolerance",IF(P28&lt;=Parameters!$B$7,"Approximately at tolerance","Above tolerance"))</f>
        <v>Above tolerance</v>
      </c>
    </row>
    <row r="29" customFormat="false" ht="15" hidden="false" customHeight="true" outlineLevel="0" collapsed="false">
      <c r="A29" s="14" t="s">
        <v>157</v>
      </c>
      <c r="B29" s="14" t="s">
        <v>310</v>
      </c>
      <c r="C29" s="12" t="n">
        <f aca="false">-1*Parameters!$B$9</f>
        <v>-0.1</v>
      </c>
      <c r="D29" s="12" t="n">
        <f aca="false">MAX(0.05,MIN(0.99,Inputs!C30+C29))</f>
        <v>0.45</v>
      </c>
      <c r="E29" s="12" t="n">
        <f aca="false">MAX(0.05,MIN(0.99,Inputs!D30+C29))</f>
        <v>0.4</v>
      </c>
      <c r="F29" s="12" t="n">
        <f aca="false">MAX(0.05,MIN(0.99,Inputs!E30+C29))</f>
        <v>0.45</v>
      </c>
      <c r="G29" s="12" t="n">
        <f aca="false">MAX(0.05,MIN(0.99,Inputs!F30+C29))</f>
        <v>0.8</v>
      </c>
      <c r="H29" s="12" t="n">
        <f aca="false">MAX(0.05,MIN(0.99,Inputs!G30-C29))</f>
        <v>0.5</v>
      </c>
      <c r="I29" s="8" t="n">
        <f aca="false">Inputs!H30</f>
        <v>0.85</v>
      </c>
      <c r="J29" s="9" t="n">
        <f aca="false">Inputs!J30</f>
        <v>9.3</v>
      </c>
      <c r="K29" s="12" t="n">
        <f aca="false">MAX(0.05,MIN(0.99,Inputs!K30-C29))</f>
        <v>0.9</v>
      </c>
      <c r="L29" s="12" t="n">
        <f aca="false">MAX(0.05,MIN(0.99,Inputs!L30-C29))</f>
        <v>0.7</v>
      </c>
      <c r="M29" s="11" t="n">
        <f aca="false">D29*E29*J29*((F29+G29)/2)*I29/H29*Parameters!$B$5</f>
        <v>1778.625</v>
      </c>
      <c r="N29" s="11" t="n">
        <f aca="false">D29*E29*J29*Parameters!$B$4*I29/H29*Parameters!$B$5</f>
        <v>853.74</v>
      </c>
      <c r="O29" s="11" t="n">
        <f aca="false">M29-M29*K29*L29</f>
        <v>658.09125</v>
      </c>
      <c r="P29" s="12" t="n">
        <f aca="false">O29/N29</f>
        <v>0.770833333333333</v>
      </c>
      <c r="Q29" s="14" t="str">
        <f aca="false">IF(P29&lt;Parameters!$B$6,"Below tolerance",IF(P29&lt;=Parameters!$B$7,"Approximately at tolerance","Above tolerance"))</f>
        <v>Below tolerance</v>
      </c>
    </row>
    <row r="30" customFormat="false" ht="15" hidden="false" customHeight="true" outlineLevel="0" collapsed="false">
      <c r="A30" s="14" t="s">
        <v>157</v>
      </c>
      <c r="B30" s="14" t="s">
        <v>311</v>
      </c>
      <c r="C30" s="12" t="n">
        <f aca="false">0*Parameters!$B$9</f>
        <v>0</v>
      </c>
      <c r="D30" s="12" t="n">
        <f aca="false">MAX(0.05,MIN(0.99,Inputs!C30+C30))</f>
        <v>0.55</v>
      </c>
      <c r="E30" s="12" t="n">
        <f aca="false">MAX(0.05,MIN(0.99,Inputs!D30+C30))</f>
        <v>0.5</v>
      </c>
      <c r="F30" s="12" t="n">
        <f aca="false">MAX(0.05,MIN(0.99,Inputs!E30+C30))</f>
        <v>0.55</v>
      </c>
      <c r="G30" s="12" t="n">
        <f aca="false">MAX(0.05,MIN(0.99,Inputs!F30+C30))</f>
        <v>0.9</v>
      </c>
      <c r="H30" s="12" t="n">
        <f aca="false">MAX(0.05,MIN(0.99,Inputs!G30-C30))</f>
        <v>0.4</v>
      </c>
      <c r="I30" s="8" t="n">
        <f aca="false">Inputs!H30</f>
        <v>0.85</v>
      </c>
      <c r="J30" s="9" t="n">
        <f aca="false">Inputs!J30</f>
        <v>9.3</v>
      </c>
      <c r="K30" s="12" t="n">
        <f aca="false">MAX(0.05,MIN(0.99,Inputs!K30-C30))</f>
        <v>0.8</v>
      </c>
      <c r="L30" s="12" t="n">
        <f aca="false">MAX(0.05,MIN(0.99,Inputs!L30-C30))</f>
        <v>0.6</v>
      </c>
      <c r="M30" s="11" t="n">
        <f aca="false">D30*E30*J30*((F30+G30)/2)*I30/H30*Parameters!$B$5</f>
        <v>3940.1484375</v>
      </c>
      <c r="N30" s="11" t="n">
        <f aca="false">D30*E30*J30*Parameters!$B$4*I30/H30*Parameters!$B$5</f>
        <v>1630.40625</v>
      </c>
      <c r="O30" s="11" t="n">
        <f aca="false">M30-M30*K30*L30</f>
        <v>2048.8771875</v>
      </c>
      <c r="P30" s="12" t="n">
        <f aca="false">O30/N30</f>
        <v>1.25666666666667</v>
      </c>
      <c r="Q30" s="14" t="str">
        <f aca="false">IF(P30&lt;Parameters!$B$6,"Below tolerance",IF(P30&lt;=Parameters!$B$7,"Approximately at tolerance","Above tolerance"))</f>
        <v>Above tolerance</v>
      </c>
    </row>
    <row r="31" customFormat="false" ht="15" hidden="false" customHeight="true" outlineLevel="0" collapsed="false">
      <c r="A31" s="14" t="s">
        <v>157</v>
      </c>
      <c r="B31" s="14" t="s">
        <v>312</v>
      </c>
      <c r="C31" s="12" t="n">
        <f aca="false">1*Parameters!$B$9</f>
        <v>0.1</v>
      </c>
      <c r="D31" s="12" t="n">
        <f aca="false">MAX(0.05,MIN(0.99,Inputs!C30+C31))</f>
        <v>0.65</v>
      </c>
      <c r="E31" s="12" t="n">
        <f aca="false">MAX(0.05,MIN(0.99,Inputs!D30+C31))</f>
        <v>0.6</v>
      </c>
      <c r="F31" s="12" t="n">
        <f aca="false">MAX(0.05,MIN(0.99,Inputs!E30+C31))</f>
        <v>0.65</v>
      </c>
      <c r="G31" s="12" t="n">
        <f aca="false">MAX(0.05,MIN(0.99,Inputs!F30+C31))</f>
        <v>0.99</v>
      </c>
      <c r="H31" s="12" t="n">
        <f aca="false">MAX(0.05,MIN(0.99,Inputs!G30-C31))</f>
        <v>0.3</v>
      </c>
      <c r="I31" s="8" t="n">
        <f aca="false">Inputs!H30</f>
        <v>0.85</v>
      </c>
      <c r="J31" s="9" t="n">
        <f aca="false">Inputs!J30</f>
        <v>9.3</v>
      </c>
      <c r="K31" s="12" t="n">
        <f aca="false">MAX(0.05,MIN(0.99,Inputs!K30-C31))</f>
        <v>0.7</v>
      </c>
      <c r="L31" s="12" t="n">
        <f aca="false">MAX(0.05,MIN(0.99,Inputs!L30-C31))</f>
        <v>0.5</v>
      </c>
      <c r="M31" s="11" t="n">
        <f aca="false">D31*E31*J31*((F31+G31)/2)*I31/H31*Parameters!$B$5</f>
        <v>8426.73</v>
      </c>
      <c r="N31" s="11" t="n">
        <f aca="false">D31*E31*J31*Parameters!$B$4*I31/H31*Parameters!$B$5</f>
        <v>3082.95</v>
      </c>
      <c r="O31" s="11" t="n">
        <f aca="false">M31-M31*K31*L31</f>
        <v>5477.3745</v>
      </c>
      <c r="P31" s="12" t="n">
        <f aca="false">O31/N31</f>
        <v>1.77666666666667</v>
      </c>
      <c r="Q31" s="14" t="str">
        <f aca="false">IF(P31&lt;Parameters!$B$6,"Below tolerance",IF(P31&lt;=Parameters!$B$7,"Approximately at tolerance","Above tolerance"))</f>
        <v>Above tolerance</v>
      </c>
    </row>
    <row r="32" customFormat="false" ht="15" hidden="false" customHeight="true" outlineLevel="0" collapsed="false">
      <c r="A32" s="14" t="s">
        <v>160</v>
      </c>
      <c r="B32" s="14" t="s">
        <v>310</v>
      </c>
      <c r="C32" s="12" t="n">
        <f aca="false">-1*Parameters!$B$9</f>
        <v>-0.1</v>
      </c>
      <c r="D32" s="12" t="n">
        <f aca="false">MAX(0.05,MIN(0.99,Inputs!C31+C32))</f>
        <v>0.05</v>
      </c>
      <c r="E32" s="12" t="n">
        <f aca="false">MAX(0.05,MIN(0.99,Inputs!D31+C32))</f>
        <v>0.5</v>
      </c>
      <c r="F32" s="12" t="n">
        <f aca="false">MAX(0.05,MIN(0.99,Inputs!E31+C32))</f>
        <v>0.5</v>
      </c>
      <c r="G32" s="12" t="n">
        <f aca="false">MAX(0.05,MIN(0.99,Inputs!F31+C32))</f>
        <v>0.85</v>
      </c>
      <c r="H32" s="12" t="n">
        <f aca="false">MAX(0.05,MIN(0.99,Inputs!G31-C32))</f>
        <v>0.45</v>
      </c>
      <c r="I32" s="8" t="n">
        <f aca="false">Inputs!H31</f>
        <v>0.9</v>
      </c>
      <c r="J32" s="9" t="n">
        <f aca="false">Inputs!J31</f>
        <v>9.4</v>
      </c>
      <c r="K32" s="12" t="n">
        <f aca="false">MAX(0.05,MIN(0.99,Inputs!K31-C32))</f>
        <v>0.65</v>
      </c>
      <c r="L32" s="12" t="n">
        <f aca="false">MAX(0.05,MIN(0.99,Inputs!L31-C32))</f>
        <v>0.7</v>
      </c>
      <c r="M32" s="11" t="n">
        <f aca="false">D32*E32*J32*((F32+G32)/2)*I32/H32*Parameters!$B$5</f>
        <v>317.25</v>
      </c>
      <c r="N32" s="11" t="n">
        <f aca="false">D32*E32*J32*Parameters!$B$4*I32/H32*Parameters!$B$5</f>
        <v>141</v>
      </c>
      <c r="O32" s="11" t="n">
        <f aca="false">M32-M32*K32*L32</f>
        <v>172.90125</v>
      </c>
      <c r="P32" s="12" t="n">
        <f aca="false">O32/N32</f>
        <v>1.22625</v>
      </c>
      <c r="Q32" s="14" t="str">
        <f aca="false">IF(P32&lt;Parameters!$B$6,"Below tolerance",IF(P32&lt;=Parameters!$B$7,"Approximately at tolerance","Above tolerance"))</f>
        <v>Above tolerance</v>
      </c>
    </row>
    <row r="33" customFormat="false" ht="15" hidden="false" customHeight="true" outlineLevel="0" collapsed="false">
      <c r="A33" s="14" t="s">
        <v>160</v>
      </c>
      <c r="B33" s="14" t="s">
        <v>311</v>
      </c>
      <c r="C33" s="12" t="n">
        <f aca="false">0*Parameters!$B$9</f>
        <v>0</v>
      </c>
      <c r="D33" s="12" t="n">
        <f aca="false">MAX(0.05,MIN(0.99,Inputs!C31+C33))</f>
        <v>0.15</v>
      </c>
      <c r="E33" s="12" t="n">
        <f aca="false">MAX(0.05,MIN(0.99,Inputs!D31+C33))</f>
        <v>0.6</v>
      </c>
      <c r="F33" s="12" t="n">
        <f aca="false">MAX(0.05,MIN(0.99,Inputs!E31+C33))</f>
        <v>0.6</v>
      </c>
      <c r="G33" s="12" t="n">
        <f aca="false">MAX(0.05,MIN(0.99,Inputs!F31+C33))</f>
        <v>0.95</v>
      </c>
      <c r="H33" s="12" t="n">
        <f aca="false">MAX(0.05,MIN(0.99,Inputs!G31-C33))</f>
        <v>0.35</v>
      </c>
      <c r="I33" s="8" t="n">
        <f aca="false">Inputs!H31</f>
        <v>0.9</v>
      </c>
      <c r="J33" s="9" t="n">
        <f aca="false">Inputs!J31</f>
        <v>9.4</v>
      </c>
      <c r="K33" s="12" t="n">
        <f aca="false">MAX(0.05,MIN(0.99,Inputs!K31-C33))</f>
        <v>0.55</v>
      </c>
      <c r="L33" s="12" t="n">
        <f aca="false">MAX(0.05,MIN(0.99,Inputs!L31-C33))</f>
        <v>0.6</v>
      </c>
      <c r="M33" s="11" t="n">
        <f aca="false">D33*E33*J33*((F33+G33)/2)*I33/H33*Parameters!$B$5</f>
        <v>1685.95714285714</v>
      </c>
      <c r="N33" s="11" t="n">
        <f aca="false">D33*E33*J33*Parameters!$B$4*I33/H33*Parameters!$B$5</f>
        <v>652.628571428572</v>
      </c>
      <c r="O33" s="11" t="n">
        <f aca="false">M33-M33*K33*L33</f>
        <v>1129.59128571429</v>
      </c>
      <c r="P33" s="12" t="n">
        <f aca="false">O33/N33</f>
        <v>1.73083333333333</v>
      </c>
      <c r="Q33" s="14" t="str">
        <f aca="false">IF(P33&lt;Parameters!$B$6,"Below tolerance",IF(P33&lt;=Parameters!$B$7,"Approximately at tolerance","Above tolerance"))</f>
        <v>Above tolerance</v>
      </c>
    </row>
    <row r="34" customFormat="false" ht="15" hidden="false" customHeight="true" outlineLevel="0" collapsed="false">
      <c r="A34" s="14" t="s">
        <v>160</v>
      </c>
      <c r="B34" s="14" t="s">
        <v>312</v>
      </c>
      <c r="C34" s="12" t="n">
        <f aca="false">1*Parameters!$B$9</f>
        <v>0.1</v>
      </c>
      <c r="D34" s="12" t="n">
        <f aca="false">MAX(0.05,MIN(0.99,Inputs!C31+C34))</f>
        <v>0.25</v>
      </c>
      <c r="E34" s="12" t="n">
        <f aca="false">MAX(0.05,MIN(0.99,Inputs!D31+C34))</f>
        <v>0.7</v>
      </c>
      <c r="F34" s="12" t="n">
        <f aca="false">MAX(0.05,MIN(0.99,Inputs!E31+C34))</f>
        <v>0.7</v>
      </c>
      <c r="G34" s="12" t="n">
        <f aca="false">MAX(0.05,MIN(0.99,Inputs!F31+C34))</f>
        <v>0.99</v>
      </c>
      <c r="H34" s="12" t="n">
        <f aca="false">MAX(0.05,MIN(0.99,Inputs!G31-C34))</f>
        <v>0.25</v>
      </c>
      <c r="I34" s="8" t="n">
        <f aca="false">Inputs!H31</f>
        <v>0.9</v>
      </c>
      <c r="J34" s="9" t="n">
        <f aca="false">Inputs!J31</f>
        <v>9.4</v>
      </c>
      <c r="K34" s="12" t="n">
        <f aca="false">MAX(0.05,MIN(0.99,Inputs!K31-C34))</f>
        <v>0.45</v>
      </c>
      <c r="L34" s="12" t="n">
        <f aca="false">MAX(0.05,MIN(0.99,Inputs!L31-C34))</f>
        <v>0.5</v>
      </c>
      <c r="M34" s="11" t="n">
        <f aca="false">D34*E34*J34*((F34+G34)/2)*I34/H34*Parameters!$B$5</f>
        <v>5004.09</v>
      </c>
      <c r="N34" s="11" t="n">
        <f aca="false">D34*E34*J34*Parameters!$B$4*I34/H34*Parameters!$B$5</f>
        <v>1776.6</v>
      </c>
      <c r="O34" s="11" t="n">
        <f aca="false">M34-M34*K34*L34</f>
        <v>3878.16975</v>
      </c>
      <c r="P34" s="12" t="n">
        <f aca="false">O34/N34</f>
        <v>2.18291666666667</v>
      </c>
      <c r="Q34" s="14" t="str">
        <f aca="false">IF(P34&lt;Parameters!$B$6,"Below tolerance",IF(P34&lt;=Parameters!$B$7,"Approximately at tolerance","Above tolerance"))</f>
        <v>Above tolerance</v>
      </c>
    </row>
    <row r="36" customFormat="false" ht="15" hidden="false" customHeight="true" outlineLevel="0" collapsed="false">
      <c r="A36" s="29" t="s">
        <v>313</v>
      </c>
    </row>
    <row r="37" customFormat="false" ht="23.25" hidden="false" customHeight="true" outlineLevel="0" collapsed="false">
      <c r="A37" s="5" t="s">
        <v>27</v>
      </c>
      <c r="B37" s="5" t="s">
        <v>314</v>
      </c>
      <c r="C37" s="5" t="s">
        <v>315</v>
      </c>
      <c r="D37" s="5" t="s">
        <v>316</v>
      </c>
    </row>
    <row r="38" customFormat="false" ht="15" hidden="false" customHeight="true" outlineLevel="0" collapsed="false">
      <c r="A38" s="14" t="s">
        <v>78</v>
      </c>
      <c r="B38" s="12" t="n">
        <f aca="false">Analyse!S5/(Analyse!M5/Analyse!J5*0.2)</f>
        <v>1.4</v>
      </c>
      <c r="C38" s="12" t="n">
        <f aca="false">Analyse!S5/(Analyse!M5/Analyse!J5*0.3)</f>
        <v>0.933333333333333</v>
      </c>
      <c r="D38" s="12" t="n">
        <f aca="false">Analyse!S5/(Analyse!M5/Analyse!J5*0.4)</f>
        <v>0.7</v>
      </c>
    </row>
    <row r="39" customFormat="false" ht="15" hidden="false" customHeight="true" outlineLevel="0" collapsed="false">
      <c r="A39" s="14" t="s">
        <v>84</v>
      </c>
      <c r="B39" s="12" t="n">
        <f aca="false">Analyse!S6/(Analyse!M6/Analyse!J6*0.2)</f>
        <v>1.8046875</v>
      </c>
      <c r="C39" s="12" t="n">
        <f aca="false">Analyse!S6/(Analyse!M6/Analyse!J6*0.3)</f>
        <v>1.203125</v>
      </c>
      <c r="D39" s="12" t="n">
        <f aca="false">Analyse!S6/(Analyse!M6/Analyse!J6*0.4)</f>
        <v>0.90234375</v>
      </c>
    </row>
    <row r="40" customFormat="false" ht="15" hidden="false" customHeight="true" outlineLevel="0" collapsed="false">
      <c r="A40" s="14" t="s">
        <v>87</v>
      </c>
      <c r="B40" s="12" t="n">
        <f aca="false">Analyse!S7/(Analyse!M7/Analyse!J7*0.2)</f>
        <v>1.2</v>
      </c>
      <c r="C40" s="12" t="n">
        <f aca="false">Analyse!S7/(Analyse!M7/Analyse!J7*0.3)</f>
        <v>0.8</v>
      </c>
      <c r="D40" s="12" t="n">
        <f aca="false">Analyse!S7/(Analyse!M7/Analyse!J7*0.4)</f>
        <v>0.6</v>
      </c>
    </row>
    <row r="41" customFormat="false" ht="15" hidden="false" customHeight="true" outlineLevel="0" collapsed="false">
      <c r="A41" s="14" t="s">
        <v>90</v>
      </c>
      <c r="B41" s="12" t="n">
        <f aca="false">Analyse!S8/(Analyse!M8/Analyse!J8*0.2)</f>
        <v>1.366875</v>
      </c>
      <c r="C41" s="12" t="n">
        <f aca="false">Analyse!S8/(Analyse!M8/Analyse!J8*0.3)</f>
        <v>0.91125</v>
      </c>
      <c r="D41" s="12" t="n">
        <f aca="false">Analyse!S8/(Analyse!M8/Analyse!J8*0.4)</f>
        <v>0.6834375</v>
      </c>
    </row>
    <row r="42" customFormat="false" ht="15" hidden="false" customHeight="true" outlineLevel="0" collapsed="false">
      <c r="A42" s="14" t="s">
        <v>93</v>
      </c>
      <c r="B42" s="12" t="n">
        <f aca="false">Analyse!S9/(Analyse!M9/Analyse!J9*0.2)</f>
        <v>1.83</v>
      </c>
      <c r="C42" s="12" t="n">
        <f aca="false">Analyse!S9/(Analyse!M9/Analyse!J9*0.3)</f>
        <v>1.22</v>
      </c>
      <c r="D42" s="12" t="n">
        <f aca="false">Analyse!S9/(Analyse!M9/Analyse!J9*0.4)</f>
        <v>0.915</v>
      </c>
    </row>
    <row r="43" customFormat="false" ht="15" hidden="false" customHeight="true" outlineLevel="0" collapsed="false">
      <c r="A43" s="14" t="s">
        <v>96</v>
      </c>
      <c r="B43" s="12" t="n">
        <f aca="false">Analyse!S10/(Analyse!M10/Analyse!J10*0.2)</f>
        <v>1.51875</v>
      </c>
      <c r="C43" s="12" t="n">
        <f aca="false">Analyse!S10/(Analyse!M10/Analyse!J10*0.3)</f>
        <v>1.0125</v>
      </c>
      <c r="D43" s="12" t="n">
        <f aca="false">Analyse!S10/(Analyse!M10/Analyse!J10*0.4)</f>
        <v>0.759375</v>
      </c>
    </row>
    <row r="44" customFormat="false" ht="15" hidden="false" customHeight="true" outlineLevel="0" collapsed="false">
      <c r="A44" s="14" t="s">
        <v>99</v>
      </c>
      <c r="B44" s="12" t="n">
        <f aca="false">Analyse!S11/(Analyse!M11/Analyse!J11*0.2)</f>
        <v>2.175</v>
      </c>
      <c r="C44" s="12" t="n">
        <f aca="false">Analyse!S11/(Analyse!M11/Analyse!J11*0.3)</f>
        <v>1.45</v>
      </c>
      <c r="D44" s="12" t="n">
        <f aca="false">Analyse!S11/(Analyse!M11/Analyse!J11*0.4)</f>
        <v>1.0875</v>
      </c>
    </row>
    <row r="45" customFormat="false" ht="15" hidden="false" customHeight="true" outlineLevel="0" collapsed="false">
      <c r="A45" s="14" t="s">
        <v>102</v>
      </c>
      <c r="B45" s="12" t="n">
        <f aca="false">Analyse!S12/(Analyse!M12/Analyse!J12*0.2)</f>
        <v>1.65</v>
      </c>
      <c r="C45" s="12" t="n">
        <f aca="false">Analyse!S12/(Analyse!M12/Analyse!J12*0.3)</f>
        <v>1.1</v>
      </c>
      <c r="D45" s="12" t="n">
        <f aca="false">Analyse!S12/(Analyse!M12/Analyse!J12*0.4)</f>
        <v>0.825</v>
      </c>
    </row>
    <row r="46" customFormat="false" ht="15" hidden="false" customHeight="true" outlineLevel="0" collapsed="false">
      <c r="A46" s="14" t="s">
        <v>105</v>
      </c>
      <c r="B46" s="12" t="n">
        <f aca="false">Analyse!S13/(Analyse!M13/Analyse!J13*0.2)</f>
        <v>2.30625</v>
      </c>
      <c r="C46" s="12" t="n">
        <f aca="false">Analyse!S13/(Analyse!M13/Analyse!J13*0.3)</f>
        <v>1.5375</v>
      </c>
      <c r="D46" s="12" t="n">
        <f aca="false">Analyse!S13/(Analyse!M13/Analyse!J13*0.4)</f>
        <v>1.153125</v>
      </c>
    </row>
    <row r="47" customFormat="false" ht="15" hidden="false" customHeight="true" outlineLevel="0" collapsed="false">
      <c r="A47" s="14" t="s">
        <v>108</v>
      </c>
      <c r="B47" s="12" t="n">
        <f aca="false">Analyse!S14/(Analyse!M14/Analyse!J14*0.2)</f>
        <v>1.78125</v>
      </c>
      <c r="C47" s="12" t="n">
        <f aca="false">Analyse!S14/(Analyse!M14/Analyse!J14*0.3)</f>
        <v>1.1875</v>
      </c>
      <c r="D47" s="12" t="n">
        <f aca="false">Analyse!S14/(Analyse!M14/Analyse!J14*0.4)</f>
        <v>0.890625</v>
      </c>
    </row>
    <row r="48" customFormat="false" ht="15" hidden="false" customHeight="true" outlineLevel="0" collapsed="false">
      <c r="A48" s="14" t="s">
        <v>111</v>
      </c>
      <c r="B48" s="12" t="n">
        <f aca="false">Analyse!S15/(Analyse!M15/Analyse!J15*0.2)</f>
        <v>1.5925</v>
      </c>
      <c r="C48" s="12" t="n">
        <f aca="false">Analyse!S15/(Analyse!M15/Analyse!J15*0.3)</f>
        <v>1.06166666666667</v>
      </c>
      <c r="D48" s="12" t="n">
        <f aca="false">Analyse!S15/(Analyse!M15/Analyse!J15*0.4)</f>
        <v>0.79625</v>
      </c>
    </row>
    <row r="49" customFormat="false" ht="15" hidden="false" customHeight="true" outlineLevel="0" collapsed="false">
      <c r="A49" s="14" t="s">
        <v>114</v>
      </c>
      <c r="B49" s="12" t="n">
        <f aca="false">Analyse!S16/(Analyse!M16/Analyse!J16*0.2)</f>
        <v>1.38</v>
      </c>
      <c r="C49" s="12" t="n">
        <f aca="false">Analyse!S16/(Analyse!M16/Analyse!J16*0.3)</f>
        <v>0.92</v>
      </c>
      <c r="D49" s="12" t="n">
        <f aca="false">Analyse!S16/(Analyse!M16/Analyse!J16*0.4)</f>
        <v>0.69</v>
      </c>
    </row>
    <row r="50" customFormat="false" ht="15" hidden="false" customHeight="true" outlineLevel="0" collapsed="false">
      <c r="A50" s="14" t="s">
        <v>117</v>
      </c>
      <c r="B50" s="12" t="n">
        <f aca="false">Analyse!S17/(Analyse!M17/Analyse!J17*0.2)</f>
        <v>0.935</v>
      </c>
      <c r="C50" s="12" t="n">
        <f aca="false">Analyse!S17/(Analyse!M17/Analyse!J17*0.3)</f>
        <v>0.623333333333334</v>
      </c>
      <c r="D50" s="12" t="n">
        <f aca="false">Analyse!S17/(Analyse!M17/Analyse!J17*0.4)</f>
        <v>0.4675</v>
      </c>
    </row>
    <row r="51" customFormat="false" ht="15" hidden="false" customHeight="true" outlineLevel="0" collapsed="false">
      <c r="A51" s="14" t="s">
        <v>120</v>
      </c>
      <c r="B51" s="12" t="n">
        <f aca="false">Analyse!S18/(Analyse!M18/Analyse!J18*0.2)</f>
        <v>1.235</v>
      </c>
      <c r="C51" s="12" t="n">
        <f aca="false">Analyse!S18/(Analyse!M18/Analyse!J18*0.3)</f>
        <v>0.823333333333333</v>
      </c>
      <c r="D51" s="12" t="n">
        <f aca="false">Analyse!S18/(Analyse!M18/Analyse!J18*0.4)</f>
        <v>0.6175</v>
      </c>
    </row>
    <row r="52" customFormat="false" ht="15" hidden="false" customHeight="true" outlineLevel="0" collapsed="false">
      <c r="A52" s="14" t="s">
        <v>123</v>
      </c>
      <c r="B52" s="12" t="n">
        <f aca="false">Analyse!S19/(Analyse!M19/Analyse!J19*0.2)</f>
        <v>0.8</v>
      </c>
      <c r="C52" s="12" t="n">
        <f aca="false">Analyse!S19/(Analyse!M19/Analyse!J19*0.3)</f>
        <v>0.533333333333333</v>
      </c>
      <c r="D52" s="12" t="n">
        <f aca="false">Analyse!S19/(Analyse!M19/Analyse!J19*0.4)</f>
        <v>0.4</v>
      </c>
    </row>
    <row r="53" customFormat="false" ht="15" hidden="false" customHeight="true" outlineLevel="0" collapsed="false">
      <c r="A53" s="14" t="s">
        <v>126</v>
      </c>
      <c r="B53" s="12" t="n">
        <f aca="false">Analyse!S20/(Analyse!M20/Analyse!J20*0.2)</f>
        <v>1.9075</v>
      </c>
      <c r="C53" s="12" t="n">
        <f aca="false">Analyse!S20/(Analyse!M20/Analyse!J20*0.3)</f>
        <v>1.27166666666667</v>
      </c>
      <c r="D53" s="12" t="n">
        <f aca="false">Analyse!S20/(Analyse!M20/Analyse!J20*0.4)</f>
        <v>0.95375</v>
      </c>
    </row>
    <row r="54" customFormat="false" ht="15" hidden="false" customHeight="true" outlineLevel="0" collapsed="false">
      <c r="A54" s="14" t="s">
        <v>129</v>
      </c>
      <c r="B54" s="12" t="n">
        <f aca="false">Analyse!S21/(Analyse!M21/Analyse!J21*0.2)</f>
        <v>1.4025</v>
      </c>
      <c r="C54" s="12" t="n">
        <f aca="false">Analyse!S21/(Analyse!M21/Analyse!J21*0.3)</f>
        <v>0.935</v>
      </c>
      <c r="D54" s="12" t="n">
        <f aca="false">Analyse!S21/(Analyse!M21/Analyse!J21*0.4)</f>
        <v>0.70125</v>
      </c>
    </row>
    <row r="55" customFormat="false" ht="15" hidden="false" customHeight="true" outlineLevel="0" collapsed="false">
      <c r="A55" s="14" t="s">
        <v>132</v>
      </c>
      <c r="B55" s="12" t="n">
        <f aca="false">Analyse!S22/(Analyse!M22/Analyse!J22*0.2)</f>
        <v>1.755</v>
      </c>
      <c r="C55" s="12" t="n">
        <f aca="false">Analyse!S22/(Analyse!M22/Analyse!J22*0.3)</f>
        <v>1.17</v>
      </c>
      <c r="D55" s="12" t="n">
        <f aca="false">Analyse!S22/(Analyse!M22/Analyse!J22*0.4)</f>
        <v>0.8775</v>
      </c>
    </row>
    <row r="56" customFormat="false" ht="15" hidden="false" customHeight="true" outlineLevel="0" collapsed="false">
      <c r="A56" s="14" t="s">
        <v>134</v>
      </c>
      <c r="B56" s="12" t="n">
        <f aca="false">Analyse!S23/(Analyse!M23/Analyse!J23*0.2)</f>
        <v>2.8675</v>
      </c>
      <c r="C56" s="12" t="n">
        <f aca="false">Analyse!S23/(Analyse!M23/Analyse!J23*0.3)</f>
        <v>1.91166666666667</v>
      </c>
      <c r="D56" s="12" t="n">
        <f aca="false">Analyse!S23/(Analyse!M23/Analyse!J23*0.4)</f>
        <v>1.43375</v>
      </c>
    </row>
    <row r="57" customFormat="false" ht="15" hidden="false" customHeight="true" outlineLevel="0" collapsed="false">
      <c r="A57" s="14" t="s">
        <v>137</v>
      </c>
      <c r="B57" s="12" t="n">
        <f aca="false">Analyse!S24/(Analyse!M24/Analyse!J24*0.2)</f>
        <v>1.74</v>
      </c>
      <c r="C57" s="12" t="n">
        <f aca="false">Analyse!S24/(Analyse!M24/Analyse!J24*0.3)</f>
        <v>1.16</v>
      </c>
      <c r="D57" s="12" t="n">
        <f aca="false">Analyse!S24/(Analyse!M24/Analyse!J24*0.4)</f>
        <v>0.87</v>
      </c>
    </row>
    <row r="58" customFormat="false" ht="15" hidden="false" customHeight="true" outlineLevel="0" collapsed="false">
      <c r="A58" s="14" t="s">
        <v>140</v>
      </c>
      <c r="B58" s="12" t="n">
        <f aca="false">Analyse!S25/(Analyse!M25/Analyse!J25*0.2)</f>
        <v>1.08875</v>
      </c>
      <c r="C58" s="12" t="n">
        <f aca="false">Analyse!S25/(Analyse!M25/Analyse!J25*0.3)</f>
        <v>0.725833333333333</v>
      </c>
      <c r="D58" s="12" t="n">
        <f aca="false">Analyse!S25/(Analyse!M25/Analyse!J25*0.4)</f>
        <v>0.544375</v>
      </c>
    </row>
    <row r="59" customFormat="false" ht="15" hidden="false" customHeight="true" outlineLevel="0" collapsed="false">
      <c r="A59" s="14" t="s">
        <v>143</v>
      </c>
      <c r="B59" s="12" t="n">
        <f aca="false">Analyse!S26/(Analyse!M26/Analyse!J26*0.2)</f>
        <v>1.16875</v>
      </c>
      <c r="C59" s="12" t="n">
        <f aca="false">Analyse!S26/(Analyse!M26/Analyse!J26*0.3)</f>
        <v>0.779166666666667</v>
      </c>
      <c r="D59" s="12" t="n">
        <f aca="false">Analyse!S26/(Analyse!M26/Analyse!J26*0.4)</f>
        <v>0.584375</v>
      </c>
    </row>
    <row r="60" customFormat="false" ht="15" hidden="false" customHeight="true" outlineLevel="0" collapsed="false">
      <c r="A60" s="14" t="s">
        <v>146</v>
      </c>
      <c r="B60" s="12" t="n">
        <f aca="false">Analyse!S27/(Analyse!M27/Analyse!J27*0.2)</f>
        <v>1.678125</v>
      </c>
      <c r="C60" s="12" t="n">
        <f aca="false">Analyse!S27/(Analyse!M27/Analyse!J27*0.3)</f>
        <v>1.11875</v>
      </c>
      <c r="D60" s="12" t="n">
        <f aca="false">Analyse!S27/(Analyse!M27/Analyse!J27*0.4)</f>
        <v>0.8390625</v>
      </c>
    </row>
    <row r="61" customFormat="false" ht="15" hidden="false" customHeight="true" outlineLevel="0" collapsed="false">
      <c r="A61" s="14" t="s">
        <v>149</v>
      </c>
      <c r="B61" s="12" t="n">
        <f aca="false">Analyse!S28/(Analyse!M28/Analyse!J28*0.2)</f>
        <v>1.6015625</v>
      </c>
      <c r="C61" s="12" t="n">
        <f aca="false">Analyse!S28/(Analyse!M28/Analyse!J28*0.3)</f>
        <v>1.06770833333333</v>
      </c>
      <c r="D61" s="12" t="n">
        <f aca="false">Analyse!S28/(Analyse!M28/Analyse!J28*0.4)</f>
        <v>0.80078125</v>
      </c>
    </row>
    <row r="62" customFormat="false" ht="15" hidden="false" customHeight="true" outlineLevel="0" collapsed="false">
      <c r="A62" s="14" t="s">
        <v>152</v>
      </c>
      <c r="B62" s="12" t="n">
        <f aca="false">Analyse!S29/(Analyse!M29/Analyse!J29*0.2)</f>
        <v>1.225</v>
      </c>
      <c r="C62" s="12" t="n">
        <f aca="false">Analyse!S29/(Analyse!M29/Analyse!J29*0.3)</f>
        <v>0.816666666666667</v>
      </c>
      <c r="D62" s="12" t="n">
        <f aca="false">Analyse!S29/(Analyse!M29/Analyse!J29*0.4)</f>
        <v>0.6125</v>
      </c>
    </row>
    <row r="63" customFormat="false" ht="15" hidden="false" customHeight="true" outlineLevel="0" collapsed="false">
      <c r="A63" s="14" t="s">
        <v>154</v>
      </c>
      <c r="B63" s="12" t="n">
        <f aca="false">Analyse!S30/(Analyse!M30/Analyse!J30*0.2)</f>
        <v>1.60625</v>
      </c>
      <c r="C63" s="12" t="n">
        <f aca="false">Analyse!S30/(Analyse!M30/Analyse!J30*0.3)</f>
        <v>1.07083333333333</v>
      </c>
      <c r="D63" s="12" t="n">
        <f aca="false">Analyse!S30/(Analyse!M30/Analyse!J30*0.4)</f>
        <v>0.803125</v>
      </c>
    </row>
    <row r="64" customFormat="false" ht="15" hidden="false" customHeight="true" outlineLevel="0" collapsed="false">
      <c r="A64" s="14" t="s">
        <v>157</v>
      </c>
      <c r="B64" s="12" t="n">
        <f aca="false">Analyse!S31/(Analyse!M31/Analyse!J31*0.2)</f>
        <v>1.885</v>
      </c>
      <c r="C64" s="12" t="n">
        <f aca="false">Analyse!S31/(Analyse!M31/Analyse!J31*0.3)</f>
        <v>1.25666666666667</v>
      </c>
      <c r="D64" s="12" t="n">
        <f aca="false">Analyse!S31/(Analyse!M31/Analyse!J31*0.4)</f>
        <v>0.9425</v>
      </c>
    </row>
    <row r="65" customFormat="false" ht="15" hidden="false" customHeight="true" outlineLevel="0" collapsed="false">
      <c r="A65" s="14" t="s">
        <v>160</v>
      </c>
      <c r="B65" s="12" t="n">
        <f aca="false">Analyse!S32/(Analyse!M32/Analyse!J32*0.2)</f>
        <v>2.59625</v>
      </c>
      <c r="C65" s="12" t="n">
        <f aca="false">Analyse!S32/(Analyse!M32/Analyse!J32*0.3)</f>
        <v>1.73083333333333</v>
      </c>
      <c r="D65" s="12" t="n">
        <f aca="false">Analyse!S32/(Analyse!M32/Analyse!J32*0.4)</f>
        <v>1.298125</v>
      </c>
    </row>
    <row r="66" customFormat="false" ht="15" hidden="false" customHeight="true" outlineLevel="0" collapsed="false">
      <c r="A66" s="14" t="s">
        <v>163</v>
      </c>
      <c r="B66" s="12" t="n">
        <f aca="false">Analyse!S33/(Analyse!M33/Analyse!J33*0.2)</f>
        <v>1.54375</v>
      </c>
      <c r="C66" s="12" t="n">
        <f aca="false">Analyse!S33/(Analyse!M33/Analyse!J33*0.3)</f>
        <v>1.02916666666667</v>
      </c>
      <c r="D66" s="12" t="n">
        <f aca="false">Analyse!S33/(Analyse!M33/Analyse!J33*0.4)</f>
        <v>0.771875</v>
      </c>
    </row>
    <row r="67" customFormat="false" ht="15" hidden="false" customHeight="true" outlineLevel="0" collapsed="false">
      <c r="A67" s="14" t="s">
        <v>166</v>
      </c>
      <c r="B67" s="12" t="n">
        <f aca="false">Analyse!S34/(Analyse!M34/Analyse!J34*0.2)</f>
        <v>1.42375</v>
      </c>
      <c r="C67" s="12" t="n">
        <f aca="false">Analyse!S34/(Analyse!M34/Analyse!J34*0.3)</f>
        <v>0.949166666666667</v>
      </c>
      <c r="D67" s="12" t="n">
        <f aca="false">Analyse!S34/(Analyse!M34/Analyse!J34*0.4)</f>
        <v>0.711875</v>
      </c>
    </row>
  </sheetData>
  <conditionalFormatting sqref="P5:P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4" min="2" style="1" width="7"/>
    <col collapsed="false" customWidth="true" hidden="false" outlineLevel="0" max="5" min="5" style="1" width="9"/>
    <col collapsed="false" customWidth="true" hidden="false" outlineLevel="0" max="6" min="6" style="1" width="12"/>
    <col collapsed="false" customWidth="true" hidden="false" outlineLevel="0" max="7" min="7" style="1" width="11"/>
    <col collapsed="false" customWidth="true" hidden="false" outlineLevel="0" max="8" min="8" style="1" width="14"/>
    <col collapsed="false" customWidth="true" hidden="false" outlineLevel="0" max="9" min="9" style="1" width="11"/>
    <col collapsed="false" customWidth="true" hidden="false" outlineLevel="0" max="10" min="10" style="1" width="28"/>
  </cols>
  <sheetData>
    <row r="1" customFormat="false" ht="17.25" hidden="false" customHeight="true" outlineLevel="0" collapsed="false">
      <c r="A1" s="2" t="s">
        <v>317</v>
      </c>
    </row>
    <row r="2" customFormat="false" ht="15" hidden="false" customHeight="true" outlineLevel="0" collapsed="false">
      <c r="A2" s="3" t="s">
        <v>318</v>
      </c>
    </row>
    <row r="4" customFormat="false" ht="23.25" hidden="false" customHeight="true" outlineLevel="0" collapsed="false">
      <c r="A4" s="5" t="s">
        <v>27</v>
      </c>
      <c r="B4" s="5" t="s">
        <v>319</v>
      </c>
      <c r="C4" s="5" t="s">
        <v>320</v>
      </c>
      <c r="D4" s="5" t="s">
        <v>321</v>
      </c>
      <c r="E4" s="5" t="s">
        <v>322</v>
      </c>
      <c r="F4" s="5" t="s">
        <v>323</v>
      </c>
      <c r="G4" s="5" t="s">
        <v>324</v>
      </c>
      <c r="H4" s="5" t="s">
        <v>325</v>
      </c>
      <c r="I4" s="5" t="s">
        <v>324</v>
      </c>
      <c r="J4" s="5" t="s">
        <v>326</v>
      </c>
    </row>
    <row r="5" customFormat="false" ht="15" hidden="false" customHeight="true" outlineLevel="0" collapsed="false">
      <c r="A5" s="14" t="s">
        <v>78</v>
      </c>
      <c r="B5" s="8" t="n">
        <f aca="false">Inputs!C4</f>
        <v>0.85</v>
      </c>
      <c r="C5" s="8" t="n">
        <f aca="false">Inputs!D4</f>
        <v>0.55</v>
      </c>
      <c r="D5" s="12" t="n">
        <f aca="false">(Inputs!E4+Inputs!F4)/2</f>
        <v>0.7</v>
      </c>
      <c r="E5" s="8" t="n">
        <f aca="false">Inputs!G4</f>
        <v>0.4</v>
      </c>
      <c r="F5" s="30" t="n">
        <f aca="false">B5*C5*D5*(1-E5)</f>
        <v>0.19635</v>
      </c>
      <c r="G5" s="14" t="str">
        <f aca="false">IF(F5&lt;=0.07,"Low",IF(F5&lt;=0.15,"Moderate",IF(F5&lt;=0.25,"High","Critical")))</f>
        <v>High</v>
      </c>
      <c r="H5" s="30" t="n">
        <f aca="false">F5*(1-Inputs!K4*Inputs!L4)</f>
        <v>0.07854</v>
      </c>
      <c r="I5" s="14" t="str">
        <f aca="false">IF(H5&lt;=0.07,"Low",IF(H5&lt;=0.15,"Moderate",IF(H5&lt;=0.25,"High","Critical")))</f>
        <v>Moderate</v>
      </c>
      <c r="J5" s="14" t="str">
        <f aca="false">IF(H5&gt;Parameters!$B$11,"Board / ownership group",IF(H5&gt;Parameters!$B$10,"Executive leadership","CIO / Cybersecurity lead"))</f>
        <v>CIO / Cybersecurity lead</v>
      </c>
    </row>
    <row r="6" customFormat="false" ht="15" hidden="false" customHeight="true" outlineLevel="0" collapsed="false">
      <c r="A6" s="14" t="s">
        <v>84</v>
      </c>
      <c r="B6" s="8" t="n">
        <f aca="false">Inputs!C5</f>
        <v>0.75</v>
      </c>
      <c r="C6" s="8" t="n">
        <f aca="false">Inputs!D5</f>
        <v>0.5</v>
      </c>
      <c r="D6" s="12" t="n">
        <f aca="false">(Inputs!E5+Inputs!F5)/2</f>
        <v>0.825</v>
      </c>
      <c r="E6" s="8" t="n">
        <f aca="false">Inputs!G5</f>
        <v>0.35</v>
      </c>
      <c r="F6" s="30" t="n">
        <f aca="false">B6*C6*D6*(1-E6)</f>
        <v>0.20109375</v>
      </c>
      <c r="G6" s="14" t="str">
        <f aca="false">IF(F6&lt;=0.07,"Low",IF(F6&lt;=0.15,"Moderate",IF(F6&lt;=0.25,"High","Critical")))</f>
        <v>High</v>
      </c>
      <c r="H6" s="30" t="n">
        <f aca="false">F6*(1-Inputs!K5*Inputs!L5)</f>
        <v>0.087978515625</v>
      </c>
      <c r="I6" s="14" t="str">
        <f aca="false">IF(H6&lt;=0.07,"Low",IF(H6&lt;=0.15,"Moderate",IF(H6&lt;=0.25,"High","Critical")))</f>
        <v>Moderate</v>
      </c>
      <c r="J6" s="14" t="str">
        <f aca="false">IF(H6&gt;Parameters!$B$11,"Board / ownership group",IF(H6&gt;Parameters!$B$10,"Executive leadership","CIO / Cybersecurity lead"))</f>
        <v>CIO / Cybersecurity lead</v>
      </c>
    </row>
    <row r="7" customFormat="false" ht="15" hidden="false" customHeight="true" outlineLevel="0" collapsed="false">
      <c r="A7" s="14" t="s">
        <v>87</v>
      </c>
      <c r="B7" s="8" t="n">
        <f aca="false">Inputs!C6</f>
        <v>0.55</v>
      </c>
      <c r="C7" s="8" t="n">
        <f aca="false">Inputs!D6</f>
        <v>0.5</v>
      </c>
      <c r="D7" s="12" t="n">
        <f aca="false">(Inputs!E6+Inputs!F6)/2</f>
        <v>0.75</v>
      </c>
      <c r="E7" s="8" t="n">
        <f aca="false">Inputs!G6</f>
        <v>0.35</v>
      </c>
      <c r="F7" s="30" t="n">
        <f aca="false">B7*C7*D7*(1-E7)</f>
        <v>0.1340625</v>
      </c>
      <c r="G7" s="14" t="str">
        <f aca="false">IF(F7&lt;=0.07,"Low",IF(F7&lt;=0.15,"Moderate",IF(F7&lt;=0.25,"High","Critical")))</f>
        <v>Moderate</v>
      </c>
      <c r="H7" s="30" t="n">
        <f aca="false">F7*(1-Inputs!K6*Inputs!L6)</f>
        <v>0.0429</v>
      </c>
      <c r="I7" s="14" t="str">
        <f aca="false">IF(H7&lt;=0.07,"Low",IF(H7&lt;=0.15,"Moderate",IF(H7&lt;=0.25,"High","Critical")))</f>
        <v>Low</v>
      </c>
      <c r="J7" s="14" t="str">
        <f aca="false">IF(H7&gt;Parameters!$B$11,"Board / ownership group",IF(H7&gt;Parameters!$B$10,"Executive leadership","CIO / Cybersecurity lead"))</f>
        <v>CIO / Cybersecurity lead</v>
      </c>
    </row>
    <row r="8" customFormat="false" ht="15" hidden="false" customHeight="true" outlineLevel="0" collapsed="false">
      <c r="A8" s="14" t="s">
        <v>90</v>
      </c>
      <c r="B8" s="8" t="n">
        <f aca="false">Inputs!C7</f>
        <v>0.6</v>
      </c>
      <c r="C8" s="8" t="n">
        <f aca="false">Inputs!D7</f>
        <v>0.45</v>
      </c>
      <c r="D8" s="12" t="n">
        <f aca="false">(Inputs!E7+Inputs!F7)/2</f>
        <v>0.675</v>
      </c>
      <c r="E8" s="8" t="n">
        <f aca="false">Inputs!G7</f>
        <v>0.4</v>
      </c>
      <c r="F8" s="30" t="n">
        <f aca="false">B8*C8*D8*(1-E8)</f>
        <v>0.10935</v>
      </c>
      <c r="G8" s="14" t="str">
        <f aca="false">IF(F8&lt;=0.07,"Low",IF(F8&lt;=0.15,"Moderate",IF(F8&lt;=0.25,"High","Critical")))</f>
        <v>Moderate</v>
      </c>
      <c r="H8" s="30" t="n">
        <f aca="false">F8*(1-Inputs!K7*Inputs!L7)</f>
        <v>0.04428675</v>
      </c>
      <c r="I8" s="14" t="str">
        <f aca="false">IF(H8&lt;=0.07,"Low",IF(H8&lt;=0.15,"Moderate",IF(H8&lt;=0.25,"High","Critical")))</f>
        <v>Low</v>
      </c>
      <c r="J8" s="14" t="str">
        <f aca="false">IF(H8&gt;Parameters!$B$11,"Board / ownership group",IF(H8&gt;Parameters!$B$10,"Executive leadership","CIO / Cybersecurity lead"))</f>
        <v>CIO / Cybersecurity lead</v>
      </c>
    </row>
    <row r="9" customFormat="false" ht="15" hidden="false" customHeight="true" outlineLevel="0" collapsed="false">
      <c r="A9" s="14" t="s">
        <v>93</v>
      </c>
      <c r="B9" s="8" t="n">
        <f aca="false">Inputs!C8</f>
        <v>0.6</v>
      </c>
      <c r="C9" s="8" t="n">
        <f aca="false">Inputs!D8</f>
        <v>0.55</v>
      </c>
      <c r="D9" s="12" t="n">
        <f aca="false">(Inputs!E8+Inputs!F8)/2</f>
        <v>0.6</v>
      </c>
      <c r="E9" s="8" t="n">
        <f aca="false">Inputs!G8</f>
        <v>0.4</v>
      </c>
      <c r="F9" s="30" t="n">
        <f aca="false">B9*C9*D9*(1-E9)</f>
        <v>0.1188</v>
      </c>
      <c r="G9" s="14" t="str">
        <f aca="false">IF(F9&lt;=0.07,"Low",IF(F9&lt;=0.15,"Moderate",IF(F9&lt;=0.25,"High","Critical")))</f>
        <v>Moderate</v>
      </c>
      <c r="H9" s="30" t="n">
        <f aca="false">F9*(1-Inputs!K8*Inputs!L8)</f>
        <v>0.072468</v>
      </c>
      <c r="I9" s="14" t="str">
        <f aca="false">IF(H9&lt;=0.07,"Low",IF(H9&lt;=0.15,"Moderate",IF(H9&lt;=0.25,"High","Critical")))</f>
        <v>Moderate</v>
      </c>
      <c r="J9" s="14" t="str">
        <f aca="false">IF(H9&gt;Parameters!$B$11,"Board / ownership group",IF(H9&gt;Parameters!$B$10,"Executive leadership","CIO / Cybersecurity lead"))</f>
        <v>CIO / Cybersecurity lead</v>
      </c>
    </row>
    <row r="10" customFormat="false" ht="15" hidden="false" customHeight="true" outlineLevel="0" collapsed="false">
      <c r="A10" s="14" t="s">
        <v>96</v>
      </c>
      <c r="B10" s="8" t="n">
        <f aca="false">Inputs!C9</f>
        <v>0.8</v>
      </c>
      <c r="C10" s="8" t="n">
        <f aca="false">Inputs!D9</f>
        <v>0.5</v>
      </c>
      <c r="D10" s="12" t="n">
        <f aca="false">(Inputs!E9+Inputs!F9)/2</f>
        <v>0.75</v>
      </c>
      <c r="E10" s="8" t="n">
        <f aca="false">Inputs!G9</f>
        <v>0.4</v>
      </c>
      <c r="F10" s="30" t="n">
        <f aca="false">B10*C10*D10*(1-E10)</f>
        <v>0.18</v>
      </c>
      <c r="G10" s="14" t="str">
        <f aca="false">IF(F10&lt;=0.07,"Low",IF(F10&lt;=0.15,"Moderate",IF(F10&lt;=0.25,"High","Critical")))</f>
        <v>High</v>
      </c>
      <c r="H10" s="30" t="n">
        <f aca="false">F10*(1-Inputs!K9*Inputs!L9)</f>
        <v>0.0729</v>
      </c>
      <c r="I10" s="14" t="str">
        <f aca="false">IF(H10&lt;=0.07,"Low",IF(H10&lt;=0.15,"Moderate",IF(H10&lt;=0.25,"High","Critical")))</f>
        <v>Moderate</v>
      </c>
      <c r="J10" s="14" t="str">
        <f aca="false">IF(H10&gt;Parameters!$B$11,"Board / ownership group",IF(H10&gt;Parameters!$B$10,"Executive leadership","CIO / Cybersecurity lead"))</f>
        <v>CIO / Cybersecurity lead</v>
      </c>
    </row>
    <row r="11" customFormat="false" ht="15" hidden="false" customHeight="true" outlineLevel="0" collapsed="false">
      <c r="A11" s="14" t="s">
        <v>99</v>
      </c>
      <c r="B11" s="8" t="n">
        <f aca="false">Inputs!C10</f>
        <v>0.45</v>
      </c>
      <c r="C11" s="8" t="n">
        <f aca="false">Inputs!D10</f>
        <v>0.5</v>
      </c>
      <c r="D11" s="12" t="n">
        <f aca="false">(Inputs!E10+Inputs!F10)/2</f>
        <v>0.75</v>
      </c>
      <c r="E11" s="8" t="n">
        <f aca="false">Inputs!G10</f>
        <v>0.35</v>
      </c>
      <c r="F11" s="30" t="n">
        <f aca="false">B11*C11*D11*(1-E11)</f>
        <v>0.1096875</v>
      </c>
      <c r="G11" s="14" t="str">
        <f aca="false">IF(F11&lt;=0.07,"Low",IF(F11&lt;=0.15,"Moderate",IF(F11&lt;=0.25,"High","Critical")))</f>
        <v>Moderate</v>
      </c>
      <c r="H11" s="30" t="n">
        <f aca="false">F11*(1-Inputs!K10*Inputs!L10)</f>
        <v>0.06361875</v>
      </c>
      <c r="I11" s="14" t="str">
        <f aca="false">IF(H11&lt;=0.07,"Low",IF(H11&lt;=0.15,"Moderate",IF(H11&lt;=0.25,"High","Critical")))</f>
        <v>Low</v>
      </c>
      <c r="J11" s="14" t="str">
        <f aca="false">IF(H11&gt;Parameters!$B$11,"Board / ownership group",IF(H11&gt;Parameters!$B$10,"Executive leadership","CIO / Cybersecurity lead"))</f>
        <v>CIO / Cybersecurity lead</v>
      </c>
    </row>
    <row r="12" customFormat="false" ht="15" hidden="false" customHeight="true" outlineLevel="0" collapsed="false">
      <c r="A12" s="14" t="s">
        <v>102</v>
      </c>
      <c r="B12" s="8" t="n">
        <f aca="false">Inputs!C11</f>
        <v>0.8</v>
      </c>
      <c r="C12" s="8" t="n">
        <f aca="false">Inputs!D11</f>
        <v>0.6</v>
      </c>
      <c r="D12" s="12" t="n">
        <f aca="false">(Inputs!E11+Inputs!F11)/2</f>
        <v>0.75</v>
      </c>
      <c r="E12" s="8" t="n">
        <f aca="false">Inputs!G11</f>
        <v>0.3</v>
      </c>
      <c r="F12" s="30" t="n">
        <f aca="false">B12*C12*D12*(1-E12)</f>
        <v>0.252</v>
      </c>
      <c r="G12" s="14" t="str">
        <f aca="false">IF(F12&lt;=0.07,"Low",IF(F12&lt;=0.15,"Moderate",IF(F12&lt;=0.25,"High","Critical")))</f>
        <v>Critical</v>
      </c>
      <c r="H12" s="30" t="n">
        <f aca="false">F12*(1-Inputs!K11*Inputs!L11)</f>
        <v>0.11088</v>
      </c>
      <c r="I12" s="14" t="str">
        <f aca="false">IF(H12&lt;=0.07,"Low",IF(H12&lt;=0.15,"Moderate",IF(H12&lt;=0.25,"High","Critical")))</f>
        <v>Moderate</v>
      </c>
      <c r="J12" s="14" t="str">
        <f aca="false">IF(H12&gt;Parameters!$B$11,"Board / ownership group",IF(H12&gt;Parameters!$B$10,"Executive leadership","CIO / Cybersecurity lead"))</f>
        <v>CIO / Cybersecurity lead</v>
      </c>
    </row>
    <row r="13" customFormat="false" ht="15" hidden="false" customHeight="true" outlineLevel="0" collapsed="false">
      <c r="A13" s="14" t="s">
        <v>105</v>
      </c>
      <c r="B13" s="8" t="n">
        <f aca="false">Inputs!C12</f>
        <v>0.55</v>
      </c>
      <c r="C13" s="8" t="n">
        <f aca="false">Inputs!D12</f>
        <v>0.45</v>
      </c>
      <c r="D13" s="12" t="n">
        <f aca="false">(Inputs!E12+Inputs!F12)/2</f>
        <v>0.75</v>
      </c>
      <c r="E13" s="8" t="n">
        <f aca="false">Inputs!G12</f>
        <v>0.35</v>
      </c>
      <c r="F13" s="30" t="n">
        <f aca="false">B13*C13*D13*(1-E13)</f>
        <v>0.12065625</v>
      </c>
      <c r="G13" s="14" t="str">
        <f aca="false">IF(F13&lt;=0.07,"Low",IF(F13&lt;=0.15,"Moderate",IF(F13&lt;=0.25,"High","Critical")))</f>
        <v>Moderate</v>
      </c>
      <c r="H13" s="30" t="n">
        <f aca="false">F13*(1-Inputs!K12*Inputs!L12)</f>
        <v>0.07420359375</v>
      </c>
      <c r="I13" s="14" t="str">
        <f aca="false">IF(H13&lt;=0.07,"Low",IF(H13&lt;=0.15,"Moderate",IF(H13&lt;=0.25,"High","Critical")))</f>
        <v>Moderate</v>
      </c>
      <c r="J13" s="14" t="str">
        <f aca="false">IF(H13&gt;Parameters!$B$11,"Board / ownership group",IF(H13&gt;Parameters!$B$10,"Executive leadership","CIO / Cybersecurity lead"))</f>
        <v>CIO / Cybersecurity lead</v>
      </c>
    </row>
    <row r="14" customFormat="false" ht="15" hidden="false" customHeight="true" outlineLevel="0" collapsed="false">
      <c r="A14" s="14" t="s">
        <v>108</v>
      </c>
      <c r="B14" s="8" t="n">
        <f aca="false">Inputs!C13</f>
        <v>0.3</v>
      </c>
      <c r="C14" s="8" t="n">
        <f aca="false">Inputs!D13</f>
        <v>0.4</v>
      </c>
      <c r="D14" s="12" t="n">
        <f aca="false">(Inputs!E13+Inputs!F13)/2</f>
        <v>0.75</v>
      </c>
      <c r="E14" s="8" t="n">
        <f aca="false">Inputs!G13</f>
        <v>0.4</v>
      </c>
      <c r="F14" s="30" t="n">
        <f aca="false">B14*C14*D14*(1-E14)</f>
        <v>0.054</v>
      </c>
      <c r="G14" s="14" t="str">
        <f aca="false">IF(F14&lt;=0.07,"Low",IF(F14&lt;=0.15,"Moderate",IF(F14&lt;=0.25,"High","Critical")))</f>
        <v>Low</v>
      </c>
      <c r="H14" s="30" t="n">
        <f aca="false">F14*(1-Inputs!K13*Inputs!L13)</f>
        <v>0.02565</v>
      </c>
      <c r="I14" s="14" t="str">
        <f aca="false">IF(H14&lt;=0.07,"Low",IF(H14&lt;=0.15,"Moderate",IF(H14&lt;=0.25,"High","Critical")))</f>
        <v>Low</v>
      </c>
      <c r="J14" s="14" t="str">
        <f aca="false">IF(H14&gt;Parameters!$B$11,"Board / ownership group",IF(H14&gt;Parameters!$B$10,"Executive leadership","CIO / Cybersecurity lead"))</f>
        <v>CIO / Cybersecurity lead</v>
      </c>
    </row>
    <row r="15" customFormat="false" ht="15" hidden="false" customHeight="true" outlineLevel="0" collapsed="false">
      <c r="A15" s="14" t="s">
        <v>111</v>
      </c>
      <c r="B15" s="8" t="n">
        <f aca="false">Inputs!C14</f>
        <v>0.45</v>
      </c>
      <c r="C15" s="8" t="n">
        <f aca="false">Inputs!D14</f>
        <v>0.45</v>
      </c>
      <c r="D15" s="12" t="n">
        <f aca="false">(Inputs!E14+Inputs!F14)/2</f>
        <v>0.65</v>
      </c>
      <c r="E15" s="8" t="n">
        <f aca="false">Inputs!G14</f>
        <v>0.4</v>
      </c>
      <c r="F15" s="30" t="n">
        <f aca="false">B15*C15*D15*(1-E15)</f>
        <v>0.078975</v>
      </c>
      <c r="G15" s="14" t="str">
        <f aca="false">IF(F15&lt;=0.07,"Low",IF(F15&lt;=0.15,"Moderate",IF(F15&lt;=0.25,"High","Critical")))</f>
        <v>Moderate</v>
      </c>
      <c r="H15" s="30" t="n">
        <f aca="false">F15*(1-Inputs!K14*Inputs!L14)</f>
        <v>0.03869775</v>
      </c>
      <c r="I15" s="14" t="str">
        <f aca="false">IF(H15&lt;=0.07,"Low",IF(H15&lt;=0.15,"Moderate",IF(H15&lt;=0.25,"High","Critical")))</f>
        <v>Low</v>
      </c>
      <c r="J15" s="14" t="str">
        <f aca="false">IF(H15&gt;Parameters!$B$11,"Board / ownership group",IF(H15&gt;Parameters!$B$10,"Executive leadership","CIO / Cybersecurity lead"))</f>
        <v>CIO / Cybersecurity lead</v>
      </c>
    </row>
    <row r="16" customFormat="false" ht="15" hidden="false" customHeight="true" outlineLevel="0" collapsed="false">
      <c r="A16" s="14" t="s">
        <v>114</v>
      </c>
      <c r="B16" s="8" t="n">
        <f aca="false">Inputs!C15</f>
        <v>0.4</v>
      </c>
      <c r="C16" s="8" t="n">
        <f aca="false">Inputs!D15</f>
        <v>0.45</v>
      </c>
      <c r="D16" s="12" t="n">
        <f aca="false">(Inputs!E15+Inputs!F15)/2</f>
        <v>0.575</v>
      </c>
      <c r="E16" s="8" t="n">
        <f aca="false">Inputs!G15</f>
        <v>0.4</v>
      </c>
      <c r="F16" s="30" t="n">
        <f aca="false">B16*C16*D16*(1-E16)</f>
        <v>0.0621</v>
      </c>
      <c r="G16" s="14" t="str">
        <f aca="false">IF(F16&lt;=0.07,"Low",IF(F16&lt;=0.15,"Moderate",IF(F16&lt;=0.25,"High","Critical")))</f>
        <v>Low</v>
      </c>
      <c r="H16" s="30" t="n">
        <f aca="false">F16*(1-Inputs!K15*Inputs!L15)</f>
        <v>0.029808</v>
      </c>
      <c r="I16" s="14" t="str">
        <f aca="false">IF(H16&lt;=0.07,"Low",IF(H16&lt;=0.15,"Moderate",IF(H16&lt;=0.25,"High","Critical")))</f>
        <v>Low</v>
      </c>
      <c r="J16" s="14" t="str">
        <f aca="false">IF(H16&gt;Parameters!$B$11,"Board / ownership group",IF(H16&gt;Parameters!$B$10,"Executive leadership","CIO / Cybersecurity lead"))</f>
        <v>CIO / Cybersecurity lead</v>
      </c>
    </row>
    <row r="17" customFormat="false" ht="15" hidden="false" customHeight="true" outlineLevel="0" collapsed="false">
      <c r="A17" s="14" t="s">
        <v>117</v>
      </c>
      <c r="B17" s="8" t="n">
        <f aca="false">Inputs!C16</f>
        <v>0.5</v>
      </c>
      <c r="C17" s="8" t="n">
        <f aca="false">Inputs!D16</f>
        <v>0.6</v>
      </c>
      <c r="D17" s="12" t="n">
        <f aca="false">(Inputs!E16+Inputs!F16)/2</f>
        <v>0.425</v>
      </c>
      <c r="E17" s="8" t="n">
        <f aca="false">Inputs!G16</f>
        <v>0.45</v>
      </c>
      <c r="F17" s="30" t="n">
        <f aca="false">B17*C17*D17*(1-E17)</f>
        <v>0.070125</v>
      </c>
      <c r="G17" s="14" t="str">
        <f aca="false">IF(F17&lt;=0.07,"Low",IF(F17&lt;=0.15,"Moderate",IF(F17&lt;=0.25,"High","Critical")))</f>
        <v>Moderate</v>
      </c>
      <c r="H17" s="30" t="n">
        <f aca="false">F17*(1-Inputs!K16*Inputs!L16)</f>
        <v>0.030855</v>
      </c>
      <c r="I17" s="14" t="str">
        <f aca="false">IF(H17&lt;=0.07,"Low",IF(H17&lt;=0.15,"Moderate",IF(H17&lt;=0.25,"High","Critical")))</f>
        <v>Low</v>
      </c>
      <c r="J17" s="14" t="str">
        <f aca="false">IF(H17&gt;Parameters!$B$11,"Board / ownership group",IF(H17&gt;Parameters!$B$10,"Executive leadership","CIO / Cybersecurity lead"))</f>
        <v>CIO / Cybersecurity lead</v>
      </c>
    </row>
    <row r="18" customFormat="false" ht="15" hidden="false" customHeight="true" outlineLevel="0" collapsed="false">
      <c r="A18" s="14" t="s">
        <v>120</v>
      </c>
      <c r="B18" s="8" t="n">
        <f aca="false">Inputs!C17</f>
        <v>0.65</v>
      </c>
      <c r="C18" s="8" t="n">
        <f aca="false">Inputs!D17</f>
        <v>0.4</v>
      </c>
      <c r="D18" s="12" t="n">
        <f aca="false">(Inputs!E17+Inputs!F17)/2</f>
        <v>0.475</v>
      </c>
      <c r="E18" s="8" t="n">
        <f aca="false">Inputs!G17</f>
        <v>0.45</v>
      </c>
      <c r="F18" s="30" t="n">
        <f aca="false">B18*C18*D18*(1-E18)</f>
        <v>0.067925</v>
      </c>
      <c r="G18" s="14" t="str">
        <f aca="false">IF(F18&lt;=0.07,"Low",IF(F18&lt;=0.15,"Moderate",IF(F18&lt;=0.25,"High","Critical")))</f>
        <v>Low</v>
      </c>
      <c r="H18" s="30" t="n">
        <f aca="false">F18*(1-Inputs!K17*Inputs!L17)</f>
        <v>0.035321</v>
      </c>
      <c r="I18" s="14" t="str">
        <f aca="false">IF(H18&lt;=0.07,"Low",IF(H18&lt;=0.15,"Moderate",IF(H18&lt;=0.25,"High","Critical")))</f>
        <v>Low</v>
      </c>
      <c r="J18" s="14" t="str">
        <f aca="false">IF(H18&gt;Parameters!$B$11,"Board / ownership group",IF(H18&gt;Parameters!$B$10,"Executive leadership","CIO / Cybersecurity lead"))</f>
        <v>CIO / Cybersecurity lead</v>
      </c>
    </row>
    <row r="19" customFormat="false" ht="15" hidden="false" customHeight="true" outlineLevel="0" collapsed="false">
      <c r="A19" s="14" t="s">
        <v>123</v>
      </c>
      <c r="B19" s="8" t="n">
        <f aca="false">Inputs!C18</f>
        <v>0.7</v>
      </c>
      <c r="C19" s="8" t="n">
        <f aca="false">Inputs!D18</f>
        <v>0.3</v>
      </c>
      <c r="D19" s="12" t="n">
        <f aca="false">(Inputs!E18+Inputs!F18)/2</f>
        <v>0.4</v>
      </c>
      <c r="E19" s="8" t="n">
        <f aca="false">Inputs!G18</f>
        <v>0.45</v>
      </c>
      <c r="F19" s="30" t="n">
        <f aca="false">B19*C19*D19*(1-E19)</f>
        <v>0.0462</v>
      </c>
      <c r="G19" s="14" t="str">
        <f aca="false">IF(F19&lt;=0.07,"Low",IF(F19&lt;=0.15,"Moderate",IF(F19&lt;=0.25,"High","Critical")))</f>
        <v>Low</v>
      </c>
      <c r="H19" s="30" t="n">
        <f aca="false">F19*(1-Inputs!K18*Inputs!L18)</f>
        <v>0.01848</v>
      </c>
      <c r="I19" s="14" t="str">
        <f aca="false">IF(H19&lt;=0.07,"Low",IF(H19&lt;=0.15,"Moderate",IF(H19&lt;=0.25,"High","Critical")))</f>
        <v>Low</v>
      </c>
      <c r="J19" s="14" t="str">
        <f aca="false">IF(H19&gt;Parameters!$B$11,"Board / ownership group",IF(H19&gt;Parameters!$B$10,"Executive leadership","CIO / Cybersecurity lead"))</f>
        <v>CIO / Cybersecurity lead</v>
      </c>
    </row>
    <row r="20" customFormat="false" ht="15" hidden="false" customHeight="true" outlineLevel="0" collapsed="false">
      <c r="A20" s="14" t="s">
        <v>126</v>
      </c>
      <c r="B20" s="8" t="n">
        <f aca="false">Inputs!C19</f>
        <v>0.35</v>
      </c>
      <c r="C20" s="8" t="n">
        <f aca="false">Inputs!D19</f>
        <v>0.5</v>
      </c>
      <c r="D20" s="12" t="n">
        <f aca="false">(Inputs!E19+Inputs!F19)/2</f>
        <v>0.7</v>
      </c>
      <c r="E20" s="8" t="n">
        <f aca="false">Inputs!G19</f>
        <v>0.35</v>
      </c>
      <c r="F20" s="30" t="n">
        <f aca="false">B20*C20*D20*(1-E20)</f>
        <v>0.079625</v>
      </c>
      <c r="G20" s="14" t="str">
        <f aca="false">IF(F20&lt;=0.07,"Low",IF(F20&lt;=0.15,"Moderate",IF(F20&lt;=0.25,"High","Critical")))</f>
        <v>Moderate</v>
      </c>
      <c r="H20" s="30" t="n">
        <f aca="false">F20*(1-Inputs!K19*Inputs!L19)</f>
        <v>0.043395625</v>
      </c>
      <c r="I20" s="14" t="str">
        <f aca="false">IF(H20&lt;=0.07,"Low",IF(H20&lt;=0.15,"Moderate",IF(H20&lt;=0.25,"High","Critical")))</f>
        <v>Low</v>
      </c>
      <c r="J20" s="14" t="str">
        <f aca="false">IF(H20&gt;Parameters!$B$11,"Board / ownership group",IF(H20&gt;Parameters!$B$10,"Executive leadership","CIO / Cybersecurity lead"))</f>
        <v>CIO / Cybersecurity lead</v>
      </c>
    </row>
    <row r="21" customFormat="false" ht="15" hidden="false" customHeight="true" outlineLevel="0" collapsed="false">
      <c r="A21" s="14" t="s">
        <v>129</v>
      </c>
      <c r="B21" s="8" t="n">
        <f aca="false">Inputs!C20</f>
        <v>0.45</v>
      </c>
      <c r="C21" s="8" t="n">
        <f aca="false">Inputs!D20</f>
        <v>0.45</v>
      </c>
      <c r="D21" s="12" t="n">
        <f aca="false">(Inputs!E20+Inputs!F20)/2</f>
        <v>0.55</v>
      </c>
      <c r="E21" s="8" t="n">
        <f aca="false">Inputs!G20</f>
        <v>0.4</v>
      </c>
      <c r="F21" s="30" t="n">
        <f aca="false">B21*C21*D21*(1-E21)</f>
        <v>0.066825</v>
      </c>
      <c r="G21" s="14" t="str">
        <f aca="false">IF(F21&lt;=0.07,"Low",IF(F21&lt;=0.15,"Moderate",IF(F21&lt;=0.25,"High","Critical")))</f>
        <v>Low</v>
      </c>
      <c r="H21" s="30" t="n">
        <f aca="false">F21*(1-Inputs!K20*Inputs!L20)</f>
        <v>0.03408075</v>
      </c>
      <c r="I21" s="14" t="str">
        <f aca="false">IF(H21&lt;=0.07,"Low",IF(H21&lt;=0.15,"Moderate",IF(H21&lt;=0.25,"High","Critical")))</f>
        <v>Low</v>
      </c>
      <c r="J21" s="14" t="str">
        <f aca="false">IF(H21&gt;Parameters!$B$11,"Board / ownership group",IF(H21&gt;Parameters!$B$10,"Executive leadership","CIO / Cybersecurity lead"))</f>
        <v>CIO / Cybersecurity lead</v>
      </c>
    </row>
    <row r="22" customFormat="false" ht="15" hidden="false" customHeight="true" outlineLevel="0" collapsed="false">
      <c r="A22" s="14" t="s">
        <v>132</v>
      </c>
      <c r="B22" s="8" t="n">
        <f aca="false">Inputs!C21</f>
        <v>0.5</v>
      </c>
      <c r="C22" s="8" t="n">
        <f aca="false">Inputs!D21</f>
        <v>0.35</v>
      </c>
      <c r="D22" s="12" t="n">
        <f aca="false">(Inputs!E21+Inputs!F21)/2</f>
        <v>0.675</v>
      </c>
      <c r="E22" s="8" t="n">
        <f aca="false">Inputs!G21</f>
        <v>0.4</v>
      </c>
      <c r="F22" s="30" t="n">
        <f aca="false">B22*C22*D22*(1-E22)</f>
        <v>0.070875</v>
      </c>
      <c r="G22" s="14" t="str">
        <f aca="false">IF(F22&lt;=0.07,"Low",IF(F22&lt;=0.15,"Moderate",IF(F22&lt;=0.25,"High","Critical")))</f>
        <v>Moderate</v>
      </c>
      <c r="H22" s="30" t="n">
        <f aca="false">F22*(1-Inputs!K21*Inputs!L21)</f>
        <v>0.036855</v>
      </c>
      <c r="I22" s="14" t="str">
        <f aca="false">IF(H22&lt;=0.07,"Low",IF(H22&lt;=0.15,"Moderate",IF(H22&lt;=0.25,"High","Critical")))</f>
        <v>Low</v>
      </c>
      <c r="J22" s="14" t="str">
        <f aca="false">IF(H22&gt;Parameters!$B$11,"Board / ownership group",IF(H22&gt;Parameters!$B$10,"Executive leadership","CIO / Cybersecurity lead"))</f>
        <v>CIO / Cybersecurity lead</v>
      </c>
    </row>
    <row r="23" customFormat="false" ht="15" hidden="false" customHeight="true" outlineLevel="0" collapsed="false">
      <c r="A23" s="14" t="s">
        <v>134</v>
      </c>
      <c r="B23" s="8" t="n">
        <f aca="false">Inputs!C22</f>
        <v>0.25</v>
      </c>
      <c r="C23" s="8" t="n">
        <f aca="false">Inputs!D22</f>
        <v>0.5</v>
      </c>
      <c r="D23" s="12" t="n">
        <f aca="false">(Inputs!E22+Inputs!F22)/2</f>
        <v>0.775</v>
      </c>
      <c r="E23" s="8" t="n">
        <f aca="false">Inputs!G22</f>
        <v>0.35</v>
      </c>
      <c r="F23" s="30" t="n">
        <f aca="false">B23*C23*D23*(1-E23)</f>
        <v>0.06296875</v>
      </c>
      <c r="G23" s="14" t="str">
        <f aca="false">IF(F23&lt;=0.07,"Low",IF(F23&lt;=0.15,"Moderate",IF(F23&lt;=0.25,"High","Critical")))</f>
        <v>Low</v>
      </c>
      <c r="H23" s="30" t="n">
        <f aca="false">F23*(1-Inputs!K22*Inputs!L22)</f>
        <v>0.046596875</v>
      </c>
      <c r="I23" s="14" t="str">
        <f aca="false">IF(H23&lt;=0.07,"Low",IF(H23&lt;=0.15,"Moderate",IF(H23&lt;=0.25,"High","Critical")))</f>
        <v>Low</v>
      </c>
      <c r="J23" s="14" t="str">
        <f aca="false">IF(H23&gt;Parameters!$B$11,"Board / ownership group",IF(H23&gt;Parameters!$B$10,"Executive leadership","CIO / Cybersecurity lead"))</f>
        <v>CIO / Cybersecurity lead</v>
      </c>
    </row>
    <row r="24" customFormat="false" ht="15" hidden="false" customHeight="true" outlineLevel="0" collapsed="false">
      <c r="A24" s="14" t="s">
        <v>137</v>
      </c>
      <c r="B24" s="8" t="n">
        <f aca="false">Inputs!C23</f>
        <v>0.55</v>
      </c>
      <c r="C24" s="8" t="n">
        <f aca="false">Inputs!D23</f>
        <v>0.4</v>
      </c>
      <c r="D24" s="12" t="n">
        <f aca="false">(Inputs!E23+Inputs!F23)/2</f>
        <v>0.725</v>
      </c>
      <c r="E24" s="8" t="n">
        <f aca="false">Inputs!G23</f>
        <v>0.4</v>
      </c>
      <c r="F24" s="30" t="n">
        <f aca="false">B24*C24*D24*(1-E24)</f>
        <v>0.0957</v>
      </c>
      <c r="G24" s="14" t="str">
        <f aca="false">IF(F24&lt;=0.07,"Low",IF(F24&lt;=0.15,"Moderate",IF(F24&lt;=0.25,"High","Critical")))</f>
        <v>Moderate</v>
      </c>
      <c r="H24" s="30" t="n">
        <f aca="false">F24*(1-Inputs!K23*Inputs!L23)</f>
        <v>0.045936</v>
      </c>
      <c r="I24" s="14" t="str">
        <f aca="false">IF(H24&lt;=0.07,"Low",IF(H24&lt;=0.15,"Moderate",IF(H24&lt;=0.25,"High","Critical")))</f>
        <v>Low</v>
      </c>
      <c r="J24" s="14" t="str">
        <f aca="false">IF(H24&gt;Parameters!$B$11,"Board / ownership group",IF(H24&gt;Parameters!$B$10,"Executive leadership","CIO / Cybersecurity lead"))</f>
        <v>CIO / Cybersecurity lead</v>
      </c>
    </row>
    <row r="25" customFormat="false" ht="15" hidden="false" customHeight="true" outlineLevel="0" collapsed="false">
      <c r="A25" s="14" t="s">
        <v>140</v>
      </c>
      <c r="B25" s="8" t="n">
        <f aca="false">Inputs!C24</f>
        <v>0.85</v>
      </c>
      <c r="C25" s="8" t="n">
        <f aca="false">Inputs!D24</f>
        <v>0.5</v>
      </c>
      <c r="D25" s="12" t="n">
        <f aca="false">(Inputs!E24+Inputs!F24)/2</f>
        <v>0.325</v>
      </c>
      <c r="E25" s="8" t="n">
        <f aca="false">Inputs!G24</f>
        <v>0.45</v>
      </c>
      <c r="F25" s="30" t="n">
        <f aca="false">B25*C25*D25*(1-E25)</f>
        <v>0.07596875</v>
      </c>
      <c r="G25" s="14" t="str">
        <f aca="false">IF(F25&lt;=0.07,"Low",IF(F25&lt;=0.15,"Moderate",IF(F25&lt;=0.25,"High","Critical")))</f>
        <v>Moderate</v>
      </c>
      <c r="H25" s="30" t="n">
        <f aca="false">F25*(1-Inputs!K24*Inputs!L24)</f>
        <v>0.0508990625</v>
      </c>
      <c r="I25" s="14" t="str">
        <f aca="false">IF(H25&lt;=0.07,"Low",IF(H25&lt;=0.15,"Moderate",IF(H25&lt;=0.25,"High","Critical")))</f>
        <v>Low</v>
      </c>
      <c r="J25" s="14" t="str">
        <f aca="false">IF(H25&gt;Parameters!$B$11,"Board / ownership group",IF(H25&gt;Parameters!$B$10,"Executive leadership","CIO / Cybersecurity lead"))</f>
        <v>CIO / Cybersecurity lead</v>
      </c>
    </row>
    <row r="26" customFormat="false" ht="15" hidden="false" customHeight="true" outlineLevel="0" collapsed="false">
      <c r="A26" s="14" t="s">
        <v>143</v>
      </c>
      <c r="B26" s="8" t="n">
        <f aca="false">Inputs!C25</f>
        <v>0.35</v>
      </c>
      <c r="C26" s="8" t="n">
        <f aca="false">Inputs!D25</f>
        <v>0.35</v>
      </c>
      <c r="D26" s="12" t="n">
        <f aca="false">(Inputs!E25+Inputs!F25)/2</f>
        <v>0.425</v>
      </c>
      <c r="E26" s="8" t="n">
        <f aca="false">Inputs!G25</f>
        <v>0.45</v>
      </c>
      <c r="F26" s="30" t="n">
        <f aca="false">B26*C26*D26*(1-E26)</f>
        <v>0.028634375</v>
      </c>
      <c r="G26" s="14" t="str">
        <f aca="false">IF(F26&lt;=0.07,"Low",IF(F26&lt;=0.15,"Moderate",IF(F26&lt;=0.25,"High","Critical")))</f>
        <v>Low</v>
      </c>
      <c r="H26" s="30" t="n">
        <f aca="false">F26*(1-Inputs!K25*Inputs!L25)</f>
        <v>0.01574890625</v>
      </c>
      <c r="I26" s="14" t="str">
        <f aca="false">IF(H26&lt;=0.07,"Low",IF(H26&lt;=0.15,"Moderate",IF(H26&lt;=0.25,"High","Critical")))</f>
        <v>Low</v>
      </c>
      <c r="J26" s="14" t="str">
        <f aca="false">IF(H26&gt;Parameters!$B$11,"Board / ownership group",IF(H26&gt;Parameters!$B$10,"Executive leadership","CIO / Cybersecurity lead"))</f>
        <v>CIO / Cybersecurity lead</v>
      </c>
    </row>
    <row r="27" customFormat="false" ht="15" hidden="false" customHeight="true" outlineLevel="0" collapsed="false">
      <c r="A27" s="14" t="s">
        <v>146</v>
      </c>
      <c r="B27" s="8" t="n">
        <f aca="false">Inputs!C26</f>
        <v>0.7</v>
      </c>
      <c r="C27" s="8" t="n">
        <f aca="false">Inputs!D26</f>
        <v>0.35</v>
      </c>
      <c r="D27" s="12" t="n">
        <f aca="false">(Inputs!E26+Inputs!F26)/2</f>
        <v>0.75</v>
      </c>
      <c r="E27" s="8" t="n">
        <f aca="false">Inputs!G26</f>
        <v>0.4</v>
      </c>
      <c r="F27" s="30" t="n">
        <f aca="false">B27*C27*D27*(1-E27)</f>
        <v>0.11025</v>
      </c>
      <c r="G27" s="14" t="str">
        <f aca="false">IF(F27&lt;=0.07,"Low",IF(F27&lt;=0.15,"Moderate",IF(F27&lt;=0.25,"High","Critical")))</f>
        <v>Moderate</v>
      </c>
      <c r="H27" s="30" t="n">
        <f aca="false">F27*(1-Inputs!K26*Inputs!L26)</f>
        <v>0.049336875</v>
      </c>
      <c r="I27" s="14" t="str">
        <f aca="false">IF(H27&lt;=0.07,"Low",IF(H27&lt;=0.15,"Moderate",IF(H27&lt;=0.25,"High","Critical")))</f>
        <v>Low</v>
      </c>
      <c r="J27" s="14" t="str">
        <f aca="false">IF(H27&gt;Parameters!$B$11,"Board / ownership group",IF(H27&gt;Parameters!$B$10,"Executive leadership","CIO / Cybersecurity lead"))</f>
        <v>CIO / Cybersecurity lead</v>
      </c>
    </row>
    <row r="28" customFormat="false" ht="15" hidden="false" customHeight="true" outlineLevel="0" collapsed="false">
      <c r="A28" s="14" t="s">
        <v>149</v>
      </c>
      <c r="B28" s="8" t="n">
        <f aca="false">Inputs!C27</f>
        <v>0.35</v>
      </c>
      <c r="C28" s="8" t="n">
        <f aca="false">Inputs!D27</f>
        <v>0.4</v>
      </c>
      <c r="D28" s="12" t="n">
        <f aca="false">(Inputs!E27+Inputs!F27)/2</f>
        <v>0.625</v>
      </c>
      <c r="E28" s="8" t="n">
        <f aca="false">Inputs!G27</f>
        <v>0.4</v>
      </c>
      <c r="F28" s="30" t="n">
        <f aca="false">B28*C28*D28*(1-E28)</f>
        <v>0.0525</v>
      </c>
      <c r="G28" s="14" t="str">
        <f aca="false">IF(F28&lt;=0.07,"Low",IF(F28&lt;=0.15,"Moderate",IF(F28&lt;=0.25,"High","Critical")))</f>
        <v>Low</v>
      </c>
      <c r="H28" s="30" t="n">
        <f aca="false">F28*(1-Inputs!K27*Inputs!L27)</f>
        <v>0.02690625</v>
      </c>
      <c r="I28" s="14" t="str">
        <f aca="false">IF(H28&lt;=0.07,"Low",IF(H28&lt;=0.15,"Moderate",IF(H28&lt;=0.25,"High","Critical")))</f>
        <v>Low</v>
      </c>
      <c r="J28" s="14" t="str">
        <f aca="false">IF(H28&gt;Parameters!$B$11,"Board / ownership group",IF(H28&gt;Parameters!$B$10,"Executive leadership","CIO / Cybersecurity lead"))</f>
        <v>CIO / Cybersecurity lead</v>
      </c>
    </row>
    <row r="29" customFormat="false" ht="15" hidden="false" customHeight="true" outlineLevel="0" collapsed="false">
      <c r="A29" s="14" t="s">
        <v>152</v>
      </c>
      <c r="B29" s="8" t="n">
        <f aca="false">Inputs!C28</f>
        <v>0.4</v>
      </c>
      <c r="C29" s="8" t="n">
        <f aca="false">Inputs!D28</f>
        <v>0.35</v>
      </c>
      <c r="D29" s="12" t="n">
        <f aca="false">(Inputs!E28+Inputs!F28)/2</f>
        <v>0.5</v>
      </c>
      <c r="E29" s="8" t="n">
        <f aca="false">Inputs!G28</f>
        <v>0.45</v>
      </c>
      <c r="F29" s="30" t="n">
        <f aca="false">B29*C29*D29*(1-E29)</f>
        <v>0.0385</v>
      </c>
      <c r="G29" s="14" t="str">
        <f aca="false">IF(F29&lt;=0.07,"Low",IF(F29&lt;=0.15,"Moderate",IF(F29&lt;=0.25,"High","Critical")))</f>
        <v>Low</v>
      </c>
      <c r="H29" s="30" t="n">
        <f aca="false">F29*(1-Inputs!K28*Inputs!L28)</f>
        <v>0.018865</v>
      </c>
      <c r="I29" s="14" t="str">
        <f aca="false">IF(H29&lt;=0.07,"Low",IF(H29&lt;=0.15,"Moderate",IF(H29&lt;=0.25,"High","Critical")))</f>
        <v>Low</v>
      </c>
      <c r="J29" s="14" t="str">
        <f aca="false">IF(H29&gt;Parameters!$B$11,"Board / ownership group",IF(H29&gt;Parameters!$B$10,"Executive leadership","CIO / Cybersecurity lead"))</f>
        <v>CIO / Cybersecurity lead</v>
      </c>
    </row>
    <row r="30" customFormat="false" ht="15" hidden="false" customHeight="true" outlineLevel="0" collapsed="false">
      <c r="A30" s="14" t="s">
        <v>154</v>
      </c>
      <c r="B30" s="8" t="n">
        <f aca="false">Inputs!C29</f>
        <v>0.8</v>
      </c>
      <c r="C30" s="8" t="n">
        <f aca="false">Inputs!D29</f>
        <v>0.55</v>
      </c>
      <c r="D30" s="12" t="n">
        <f aca="false">(Inputs!E29+Inputs!F29)/2</f>
        <v>0.5</v>
      </c>
      <c r="E30" s="8" t="n">
        <f aca="false">Inputs!G29</f>
        <v>0.4</v>
      </c>
      <c r="F30" s="30" t="n">
        <f aca="false">B30*C30*D30*(1-E30)</f>
        <v>0.132</v>
      </c>
      <c r="G30" s="14" t="str">
        <f aca="false">IF(F30&lt;=0.07,"Low",IF(F30&lt;=0.15,"Moderate",IF(F30&lt;=0.25,"High","Critical")))</f>
        <v>Moderate</v>
      </c>
      <c r="H30" s="30" t="n">
        <f aca="false">F30*(1-Inputs!K29*Inputs!L29)</f>
        <v>0.08481</v>
      </c>
      <c r="I30" s="14" t="str">
        <f aca="false">IF(H30&lt;=0.07,"Low",IF(H30&lt;=0.15,"Moderate",IF(H30&lt;=0.25,"High","Critical")))</f>
        <v>Moderate</v>
      </c>
      <c r="J30" s="14" t="str">
        <f aca="false">IF(H30&gt;Parameters!$B$11,"Board / ownership group",IF(H30&gt;Parameters!$B$10,"Executive leadership","CIO / Cybersecurity lead"))</f>
        <v>CIO / Cybersecurity lead</v>
      </c>
    </row>
    <row r="31" customFormat="false" ht="15" hidden="false" customHeight="true" outlineLevel="0" collapsed="false">
      <c r="A31" s="14" t="s">
        <v>157</v>
      </c>
      <c r="B31" s="8" t="n">
        <f aca="false">Inputs!C30</f>
        <v>0.55</v>
      </c>
      <c r="C31" s="8" t="n">
        <f aca="false">Inputs!D30</f>
        <v>0.5</v>
      </c>
      <c r="D31" s="12" t="n">
        <f aca="false">(Inputs!E30+Inputs!F30)/2</f>
        <v>0.725</v>
      </c>
      <c r="E31" s="8" t="n">
        <f aca="false">Inputs!G30</f>
        <v>0.4</v>
      </c>
      <c r="F31" s="30" t="n">
        <f aca="false">B31*C31*D31*(1-E31)</f>
        <v>0.119625</v>
      </c>
      <c r="G31" s="14" t="str">
        <f aca="false">IF(F31&lt;=0.07,"Low",IF(F31&lt;=0.15,"Moderate",IF(F31&lt;=0.25,"High","Critical")))</f>
        <v>Moderate</v>
      </c>
      <c r="H31" s="30" t="n">
        <f aca="false">F31*(1-Inputs!K30*Inputs!L30)</f>
        <v>0.062205</v>
      </c>
      <c r="I31" s="14" t="str">
        <f aca="false">IF(H31&lt;=0.07,"Low",IF(H31&lt;=0.15,"Moderate",IF(H31&lt;=0.25,"High","Critical")))</f>
        <v>Low</v>
      </c>
      <c r="J31" s="14" t="str">
        <f aca="false">IF(H31&gt;Parameters!$B$11,"Board / ownership group",IF(H31&gt;Parameters!$B$10,"Executive leadership","CIO / Cybersecurity lead"))</f>
        <v>CIO / Cybersecurity lead</v>
      </c>
    </row>
    <row r="32" customFormat="false" ht="15" hidden="false" customHeight="true" outlineLevel="0" collapsed="false">
      <c r="A32" s="14" t="s">
        <v>160</v>
      </c>
      <c r="B32" s="8" t="n">
        <f aca="false">Inputs!C31</f>
        <v>0.15</v>
      </c>
      <c r="C32" s="8" t="n">
        <f aca="false">Inputs!D31</f>
        <v>0.6</v>
      </c>
      <c r="D32" s="12" t="n">
        <f aca="false">(Inputs!E31+Inputs!F31)/2</f>
        <v>0.775</v>
      </c>
      <c r="E32" s="8" t="n">
        <f aca="false">Inputs!G31</f>
        <v>0.35</v>
      </c>
      <c r="F32" s="30" t="n">
        <f aca="false">B32*C32*D32*(1-E32)</f>
        <v>0.0453375</v>
      </c>
      <c r="G32" s="14" t="str">
        <f aca="false">IF(F32&lt;=0.07,"Low",IF(F32&lt;=0.15,"Moderate",IF(F32&lt;=0.25,"High","Critical")))</f>
        <v>Low</v>
      </c>
      <c r="H32" s="30" t="n">
        <f aca="false">F32*(1-Inputs!K31*Inputs!L31)</f>
        <v>0.030376125</v>
      </c>
      <c r="I32" s="14" t="str">
        <f aca="false">IF(H32&lt;=0.07,"Low",IF(H32&lt;=0.15,"Moderate",IF(H32&lt;=0.25,"High","Critical")))</f>
        <v>Low</v>
      </c>
      <c r="J32" s="14" t="str">
        <f aca="false">IF(H32&gt;Parameters!$B$11,"Board / ownership group",IF(H32&gt;Parameters!$B$10,"Executive leadership","CIO / Cybersecurity lead"))</f>
        <v>CIO / Cybersecurity lead</v>
      </c>
    </row>
    <row r="33" customFormat="false" ht="15" hidden="false" customHeight="true" outlineLevel="0" collapsed="false">
      <c r="A33" s="14" t="s">
        <v>163</v>
      </c>
      <c r="B33" s="8" t="n">
        <f aca="false">Inputs!C32</f>
        <v>0.25</v>
      </c>
      <c r="C33" s="8" t="n">
        <f aca="false">Inputs!D32</f>
        <v>0.4</v>
      </c>
      <c r="D33" s="12" t="n">
        <f aca="false">(Inputs!E32+Inputs!F32)/2</f>
        <v>0.65</v>
      </c>
      <c r="E33" s="8" t="n">
        <f aca="false">Inputs!G32</f>
        <v>0.4</v>
      </c>
      <c r="F33" s="30" t="n">
        <f aca="false">B33*C33*D33*(1-E33)</f>
        <v>0.039</v>
      </c>
      <c r="G33" s="14" t="str">
        <f aca="false">IF(F33&lt;=0.07,"Low",IF(F33&lt;=0.15,"Moderate",IF(F33&lt;=0.25,"High","Critical")))</f>
        <v>Low</v>
      </c>
      <c r="H33" s="30" t="n">
        <f aca="false">F33*(1-Inputs!K32*Inputs!L32)</f>
        <v>0.018525</v>
      </c>
      <c r="I33" s="14" t="str">
        <f aca="false">IF(H33&lt;=0.07,"Low",IF(H33&lt;=0.15,"Moderate",IF(H33&lt;=0.25,"High","Critical")))</f>
        <v>Low</v>
      </c>
      <c r="J33" s="14" t="str">
        <f aca="false">IF(H33&gt;Parameters!$B$11,"Board / ownership group",IF(H33&gt;Parameters!$B$10,"Executive leadership","CIO / Cybersecurity lead"))</f>
        <v>CIO / Cybersecurity lead</v>
      </c>
    </row>
    <row r="34" customFormat="false" ht="15" hidden="false" customHeight="true" outlineLevel="0" collapsed="false">
      <c r="A34" s="14" t="s">
        <v>166</v>
      </c>
      <c r="B34" s="8" t="n">
        <f aca="false">Inputs!C33</f>
        <v>0.7</v>
      </c>
      <c r="C34" s="8" t="n">
        <f aca="false">Inputs!D33</f>
        <v>0.5</v>
      </c>
      <c r="D34" s="12" t="n">
        <f aca="false">(Inputs!E33+Inputs!F33)/2</f>
        <v>0.425</v>
      </c>
      <c r="E34" s="8" t="n">
        <f aca="false">Inputs!G33</f>
        <v>0.45</v>
      </c>
      <c r="F34" s="30" t="n">
        <f aca="false">B34*C34*D34*(1-E34)</f>
        <v>0.0818125</v>
      </c>
      <c r="G34" s="14" t="str">
        <f aca="false">IF(F34&lt;=0.07,"Low",IF(F34&lt;=0.15,"Moderate",IF(F34&lt;=0.25,"High","Critical")))</f>
        <v>Moderate</v>
      </c>
      <c r="H34" s="30" t="n">
        <f aca="false">F34*(1-Inputs!K33*Inputs!L33)</f>
        <v>0.054814375</v>
      </c>
      <c r="I34" s="14" t="str">
        <f aca="false">IF(H34&lt;=0.07,"Low",IF(H34&lt;=0.15,"Moderate",IF(H34&lt;=0.25,"High","Critical")))</f>
        <v>Low</v>
      </c>
      <c r="J34" s="14" t="str">
        <f aca="false">IF(H34&gt;Parameters!$B$11,"Board / ownership group",IF(H34&gt;Parameters!$B$10,"Executive leadership","CIO / Cybersecurity lead"))</f>
        <v>CIO / Cybersecurity lead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4"/>
    <col collapsed="false" customWidth="true" hidden="false" outlineLevel="0" max="4" min="4" style="1" width="70"/>
    <col collapsed="false" customWidth="true" hidden="false" outlineLevel="0" max="5" min="5" style="1" width="24"/>
    <col collapsed="false" customWidth="true" hidden="false" outlineLevel="0" max="6" min="6" style="1" width="50"/>
    <col collapsed="false" customWidth="true" hidden="false" outlineLevel="0" max="7" min="7" style="1" width="40"/>
    <col collapsed="false" customWidth="true" hidden="false" outlineLevel="0" max="8" min="8" style="1" width="50"/>
    <col collapsed="false" customWidth="true" hidden="false" outlineLevel="0" max="9" min="9" style="1" width="20"/>
    <col collapsed="false" customWidth="true" hidden="false" outlineLevel="0" max="10" min="10" style="1" width="22"/>
    <col collapsed="false" customWidth="true" hidden="false" outlineLevel="0" max="11" min="11" style="1" width="12"/>
    <col collapsed="false" customWidth="true" hidden="false" outlineLevel="0" max="12" min="12" style="1" width="60"/>
  </cols>
  <sheetData>
    <row r="1" customFormat="false" ht="15" hidden="false" customHeight="true" outlineLevel="0" collapsed="false">
      <c r="A1" s="5" t="s">
        <v>27</v>
      </c>
      <c r="B1" s="5" t="s">
        <v>327</v>
      </c>
      <c r="C1" s="5" t="s">
        <v>28</v>
      </c>
      <c r="D1" s="5" t="s">
        <v>328</v>
      </c>
      <c r="E1" s="5" t="s">
        <v>329</v>
      </c>
      <c r="F1" s="5" t="s">
        <v>330</v>
      </c>
      <c r="G1" s="5" t="s">
        <v>331</v>
      </c>
      <c r="H1" s="5" t="s">
        <v>332</v>
      </c>
      <c r="I1" s="5" t="s">
        <v>333</v>
      </c>
      <c r="J1" s="5" t="s">
        <v>334</v>
      </c>
      <c r="K1" s="5" t="s">
        <v>335</v>
      </c>
      <c r="L1" s="5" t="s">
        <v>336</v>
      </c>
    </row>
    <row r="2" customFormat="false" ht="79.5" hidden="false" customHeight="true" outlineLevel="0" collapsed="false">
      <c r="A2" s="21" t="s">
        <v>78</v>
      </c>
      <c r="B2" s="21" t="s">
        <v>337</v>
      </c>
      <c r="C2" s="21" t="s">
        <v>79</v>
      </c>
      <c r="D2" s="21" t="s">
        <v>338</v>
      </c>
      <c r="E2" s="21" t="s">
        <v>339</v>
      </c>
      <c r="F2" s="21" t="s">
        <v>340</v>
      </c>
      <c r="G2" s="21" t="s">
        <v>341</v>
      </c>
      <c r="H2" s="21" t="s">
        <v>342</v>
      </c>
      <c r="I2" s="21" t="s">
        <v>343</v>
      </c>
      <c r="J2" s="21" t="s">
        <v>260</v>
      </c>
      <c r="K2" s="21" t="s">
        <v>344</v>
      </c>
      <c r="L2" s="21" t="s">
        <v>345</v>
      </c>
    </row>
    <row r="3" customFormat="false" ht="90.75" hidden="false" customHeight="true" outlineLevel="0" collapsed="false">
      <c r="A3" s="21" t="s">
        <v>84</v>
      </c>
      <c r="B3" s="21" t="s">
        <v>346</v>
      </c>
      <c r="C3" s="21" t="s">
        <v>85</v>
      </c>
      <c r="D3" s="21" t="s">
        <v>347</v>
      </c>
      <c r="E3" s="21" t="s">
        <v>348</v>
      </c>
      <c r="F3" s="21" t="s">
        <v>349</v>
      </c>
      <c r="G3" s="21" t="s">
        <v>350</v>
      </c>
      <c r="H3" s="21" t="s">
        <v>351</v>
      </c>
      <c r="I3" s="21" t="s">
        <v>352</v>
      </c>
      <c r="J3" s="21" t="s">
        <v>353</v>
      </c>
      <c r="K3" s="21" t="s">
        <v>354</v>
      </c>
      <c r="L3" s="21" t="s">
        <v>355</v>
      </c>
    </row>
    <row r="4" customFormat="false" ht="45.75" hidden="false" customHeight="true" outlineLevel="0" collapsed="false">
      <c r="A4" s="21" t="s">
        <v>87</v>
      </c>
      <c r="B4" s="21" t="s">
        <v>356</v>
      </c>
      <c r="C4" s="21" t="s">
        <v>88</v>
      </c>
      <c r="D4" s="21" t="s">
        <v>357</v>
      </c>
      <c r="E4" s="21" t="s">
        <v>358</v>
      </c>
      <c r="F4" s="21" t="s">
        <v>359</v>
      </c>
      <c r="G4" s="21" t="s">
        <v>360</v>
      </c>
      <c r="H4" s="21" t="s">
        <v>361</v>
      </c>
      <c r="I4" s="21" t="s">
        <v>362</v>
      </c>
      <c r="J4" s="21" t="s">
        <v>260</v>
      </c>
      <c r="K4" s="21" t="s">
        <v>363</v>
      </c>
      <c r="L4" s="21" t="s">
        <v>364</v>
      </c>
    </row>
    <row r="5" customFormat="false" ht="45.75" hidden="false" customHeight="true" outlineLevel="0" collapsed="false">
      <c r="A5" s="21" t="s">
        <v>90</v>
      </c>
      <c r="B5" s="21" t="s">
        <v>365</v>
      </c>
      <c r="C5" s="21" t="s">
        <v>91</v>
      </c>
      <c r="D5" s="21" t="s">
        <v>366</v>
      </c>
      <c r="E5" s="21" t="s">
        <v>367</v>
      </c>
      <c r="F5" s="21" t="s">
        <v>368</v>
      </c>
      <c r="G5" s="21" t="s">
        <v>369</v>
      </c>
      <c r="H5" s="21" t="s">
        <v>370</v>
      </c>
      <c r="I5" s="21" t="s">
        <v>371</v>
      </c>
      <c r="J5" s="21" t="s">
        <v>372</v>
      </c>
      <c r="K5" s="21" t="s">
        <v>344</v>
      </c>
      <c r="L5" s="21" t="s">
        <v>373</v>
      </c>
    </row>
    <row r="6" customFormat="false" ht="45.75" hidden="false" customHeight="true" outlineLevel="0" collapsed="false">
      <c r="A6" s="21" t="s">
        <v>93</v>
      </c>
      <c r="B6" s="21" t="s">
        <v>374</v>
      </c>
      <c r="C6" s="21" t="s">
        <v>94</v>
      </c>
      <c r="D6" s="21" t="s">
        <v>375</v>
      </c>
      <c r="E6" s="21" t="s">
        <v>376</v>
      </c>
      <c r="F6" s="21" t="s">
        <v>377</v>
      </c>
      <c r="G6" s="21" t="s">
        <v>378</v>
      </c>
      <c r="H6" s="21" t="s">
        <v>379</v>
      </c>
      <c r="I6" s="21" t="s">
        <v>380</v>
      </c>
      <c r="J6" s="21" t="s">
        <v>381</v>
      </c>
      <c r="K6" s="21" t="s">
        <v>382</v>
      </c>
      <c r="L6" s="21" t="s">
        <v>383</v>
      </c>
    </row>
    <row r="7" customFormat="false" ht="45.75" hidden="false" customHeight="true" outlineLevel="0" collapsed="false">
      <c r="A7" s="21" t="s">
        <v>96</v>
      </c>
      <c r="B7" s="21" t="s">
        <v>384</v>
      </c>
      <c r="C7" s="21" t="s">
        <v>97</v>
      </c>
      <c r="D7" s="21" t="s">
        <v>385</v>
      </c>
      <c r="E7" s="21" t="s">
        <v>386</v>
      </c>
      <c r="F7" s="21" t="s">
        <v>387</v>
      </c>
      <c r="G7" s="21" t="s">
        <v>388</v>
      </c>
      <c r="H7" s="21" t="s">
        <v>389</v>
      </c>
      <c r="I7" s="21" t="s">
        <v>390</v>
      </c>
      <c r="J7" s="21" t="s">
        <v>260</v>
      </c>
      <c r="K7" s="21" t="s">
        <v>391</v>
      </c>
      <c r="L7" s="21" t="s">
        <v>392</v>
      </c>
    </row>
    <row r="8" customFormat="false" ht="57" hidden="false" customHeight="true" outlineLevel="0" collapsed="false">
      <c r="A8" s="21" t="s">
        <v>99</v>
      </c>
      <c r="B8" s="21" t="s">
        <v>393</v>
      </c>
      <c r="C8" s="21" t="s">
        <v>100</v>
      </c>
      <c r="D8" s="21" t="s">
        <v>394</v>
      </c>
      <c r="E8" s="21" t="s">
        <v>395</v>
      </c>
      <c r="F8" s="21" t="s">
        <v>396</v>
      </c>
      <c r="G8" s="21" t="s">
        <v>397</v>
      </c>
      <c r="H8" s="21" t="s">
        <v>398</v>
      </c>
      <c r="I8" s="21" t="s">
        <v>399</v>
      </c>
      <c r="J8" s="21" t="s">
        <v>400</v>
      </c>
      <c r="K8" s="21" t="s">
        <v>401</v>
      </c>
      <c r="L8" s="21" t="s">
        <v>402</v>
      </c>
    </row>
    <row r="9" customFormat="false" ht="57" hidden="false" customHeight="true" outlineLevel="0" collapsed="false">
      <c r="A9" s="21" t="s">
        <v>102</v>
      </c>
      <c r="B9" s="21" t="s">
        <v>403</v>
      </c>
      <c r="C9" s="21" t="s">
        <v>103</v>
      </c>
      <c r="D9" s="21" t="s">
        <v>404</v>
      </c>
      <c r="E9" s="21" t="s">
        <v>405</v>
      </c>
      <c r="F9" s="21" t="s">
        <v>406</v>
      </c>
      <c r="G9" s="21" t="s">
        <v>407</v>
      </c>
      <c r="H9" s="21" t="s">
        <v>408</v>
      </c>
      <c r="I9" s="21" t="s">
        <v>409</v>
      </c>
      <c r="J9" s="21" t="s">
        <v>192</v>
      </c>
      <c r="K9" s="21" t="s">
        <v>344</v>
      </c>
      <c r="L9" s="21" t="s">
        <v>410</v>
      </c>
    </row>
    <row r="10" customFormat="false" ht="57" hidden="false" customHeight="true" outlineLevel="0" collapsed="false">
      <c r="A10" s="21" t="s">
        <v>105</v>
      </c>
      <c r="B10" s="21" t="s">
        <v>411</v>
      </c>
      <c r="C10" s="21" t="s">
        <v>106</v>
      </c>
      <c r="D10" s="21" t="s">
        <v>412</v>
      </c>
      <c r="E10" s="21" t="s">
        <v>413</v>
      </c>
      <c r="F10" s="21" t="s">
        <v>414</v>
      </c>
      <c r="G10" s="21" t="s">
        <v>415</v>
      </c>
      <c r="H10" s="21" t="s">
        <v>416</v>
      </c>
      <c r="I10" s="21" t="s">
        <v>417</v>
      </c>
      <c r="J10" s="21" t="s">
        <v>418</v>
      </c>
      <c r="K10" s="21" t="s">
        <v>419</v>
      </c>
      <c r="L10" s="21" t="s">
        <v>420</v>
      </c>
    </row>
    <row r="11" customFormat="false" ht="45.75" hidden="false" customHeight="true" outlineLevel="0" collapsed="false">
      <c r="A11" s="21" t="s">
        <v>108</v>
      </c>
      <c r="B11" s="21" t="s">
        <v>421</v>
      </c>
      <c r="C11" s="21" t="s">
        <v>109</v>
      </c>
      <c r="D11" s="21" t="s">
        <v>422</v>
      </c>
      <c r="E11" s="21" t="s">
        <v>423</v>
      </c>
      <c r="F11" s="21" t="s">
        <v>424</v>
      </c>
      <c r="G11" s="21" t="s">
        <v>425</v>
      </c>
      <c r="H11" s="21" t="s">
        <v>426</v>
      </c>
      <c r="I11" s="21" t="s">
        <v>427</v>
      </c>
      <c r="J11" s="21" t="s">
        <v>428</v>
      </c>
      <c r="K11" s="21" t="s">
        <v>429</v>
      </c>
      <c r="L11" s="21" t="s">
        <v>430</v>
      </c>
    </row>
    <row r="12" customFormat="false" ht="45.75" hidden="false" customHeight="true" outlineLevel="0" collapsed="false">
      <c r="A12" s="21" t="s">
        <v>111</v>
      </c>
      <c r="B12" s="21" t="s">
        <v>431</v>
      </c>
      <c r="C12" s="21" t="s">
        <v>112</v>
      </c>
      <c r="D12" s="21" t="s">
        <v>432</v>
      </c>
      <c r="E12" s="21" t="s">
        <v>433</v>
      </c>
      <c r="F12" s="21" t="s">
        <v>434</v>
      </c>
      <c r="G12" s="21" t="s">
        <v>435</v>
      </c>
      <c r="H12" s="21" t="s">
        <v>436</v>
      </c>
      <c r="I12" s="21" t="s">
        <v>437</v>
      </c>
      <c r="J12" s="21" t="s">
        <v>256</v>
      </c>
      <c r="K12" s="21" t="s">
        <v>438</v>
      </c>
      <c r="L12" s="21" t="s">
        <v>439</v>
      </c>
    </row>
    <row r="13" customFormat="false" ht="45.75" hidden="false" customHeight="true" outlineLevel="0" collapsed="false">
      <c r="A13" s="21" t="s">
        <v>114</v>
      </c>
      <c r="B13" s="21" t="s">
        <v>440</v>
      </c>
      <c r="C13" s="21" t="s">
        <v>115</v>
      </c>
      <c r="D13" s="21" t="s">
        <v>441</v>
      </c>
      <c r="E13" s="21" t="s">
        <v>442</v>
      </c>
      <c r="F13" s="21" t="s">
        <v>443</v>
      </c>
      <c r="G13" s="21" t="s">
        <v>444</v>
      </c>
      <c r="H13" s="21" t="s">
        <v>445</v>
      </c>
      <c r="I13" s="21" t="s">
        <v>446</v>
      </c>
      <c r="J13" s="21" t="s">
        <v>204</v>
      </c>
      <c r="K13" s="21" t="s">
        <v>447</v>
      </c>
      <c r="L13" s="21" t="s">
        <v>448</v>
      </c>
    </row>
    <row r="14" customFormat="false" ht="45.75" hidden="false" customHeight="true" outlineLevel="0" collapsed="false">
      <c r="A14" s="21" t="s">
        <v>117</v>
      </c>
      <c r="B14" s="21" t="s">
        <v>449</v>
      </c>
      <c r="C14" s="21" t="s">
        <v>118</v>
      </c>
      <c r="D14" s="21" t="s">
        <v>450</v>
      </c>
      <c r="E14" s="21" t="s">
        <v>451</v>
      </c>
      <c r="F14" s="21" t="s">
        <v>452</v>
      </c>
      <c r="G14" s="21" t="s">
        <v>453</v>
      </c>
      <c r="H14" s="21" t="s">
        <v>454</v>
      </c>
      <c r="I14" s="21" t="s">
        <v>455</v>
      </c>
      <c r="J14" s="21" t="s">
        <v>260</v>
      </c>
      <c r="K14" s="21" t="s">
        <v>344</v>
      </c>
      <c r="L14" s="21" t="s">
        <v>456</v>
      </c>
    </row>
    <row r="15" customFormat="false" ht="45.75" hidden="false" customHeight="true" outlineLevel="0" collapsed="false">
      <c r="A15" s="21" t="s">
        <v>120</v>
      </c>
      <c r="B15" s="21" t="s">
        <v>457</v>
      </c>
      <c r="C15" s="21" t="s">
        <v>121</v>
      </c>
      <c r="D15" s="21" t="s">
        <v>458</v>
      </c>
      <c r="E15" s="21" t="s">
        <v>459</v>
      </c>
      <c r="F15" s="21" t="s">
        <v>460</v>
      </c>
      <c r="G15" s="21" t="s">
        <v>461</v>
      </c>
      <c r="H15" s="21" t="s">
        <v>462</v>
      </c>
      <c r="I15" s="21" t="s">
        <v>463</v>
      </c>
      <c r="J15" s="21" t="s">
        <v>464</v>
      </c>
      <c r="K15" s="21" t="s">
        <v>465</v>
      </c>
      <c r="L15" s="21" t="s">
        <v>466</v>
      </c>
    </row>
    <row r="16" customFormat="false" ht="34.5" hidden="false" customHeight="true" outlineLevel="0" collapsed="false">
      <c r="A16" s="21" t="s">
        <v>123</v>
      </c>
      <c r="B16" s="21" t="s">
        <v>467</v>
      </c>
      <c r="C16" s="21" t="s">
        <v>124</v>
      </c>
      <c r="D16" s="21" t="s">
        <v>468</v>
      </c>
      <c r="E16" s="21" t="s">
        <v>469</v>
      </c>
      <c r="F16" s="21" t="s">
        <v>470</v>
      </c>
      <c r="G16" s="21" t="s">
        <v>471</v>
      </c>
      <c r="H16" s="21" t="s">
        <v>472</v>
      </c>
      <c r="I16" s="21" t="s">
        <v>267</v>
      </c>
      <c r="J16" s="21" t="s">
        <v>269</v>
      </c>
      <c r="K16" s="21" t="s">
        <v>438</v>
      </c>
      <c r="L16" s="21" t="s">
        <v>473</v>
      </c>
    </row>
    <row r="17" customFormat="false" ht="45.75" hidden="false" customHeight="true" outlineLevel="0" collapsed="false">
      <c r="A17" s="21" t="s">
        <v>126</v>
      </c>
      <c r="B17" s="21" t="s">
        <v>474</v>
      </c>
      <c r="C17" s="21" t="s">
        <v>127</v>
      </c>
      <c r="D17" s="21" t="s">
        <v>475</v>
      </c>
      <c r="E17" s="21" t="s">
        <v>476</v>
      </c>
      <c r="F17" s="21" t="s">
        <v>477</v>
      </c>
      <c r="G17" s="21" t="s">
        <v>478</v>
      </c>
      <c r="H17" s="21" t="s">
        <v>479</v>
      </c>
      <c r="I17" s="21" t="s">
        <v>480</v>
      </c>
      <c r="J17" s="21" t="s">
        <v>481</v>
      </c>
      <c r="K17" s="21" t="s">
        <v>482</v>
      </c>
      <c r="L17" s="21" t="s">
        <v>483</v>
      </c>
    </row>
    <row r="18" customFormat="false" ht="34.5" hidden="false" customHeight="true" outlineLevel="0" collapsed="false">
      <c r="A18" s="21" t="s">
        <v>129</v>
      </c>
      <c r="B18" s="21" t="s">
        <v>484</v>
      </c>
      <c r="C18" s="21" t="s">
        <v>130</v>
      </c>
      <c r="D18" s="21" t="s">
        <v>485</v>
      </c>
      <c r="E18" s="21" t="s">
        <v>486</v>
      </c>
      <c r="F18" s="21" t="s">
        <v>487</v>
      </c>
      <c r="G18" s="21" t="s">
        <v>488</v>
      </c>
      <c r="H18" s="21" t="s">
        <v>489</v>
      </c>
      <c r="I18" s="21" t="s">
        <v>490</v>
      </c>
      <c r="J18" s="21" t="s">
        <v>491</v>
      </c>
      <c r="K18" s="21" t="s">
        <v>382</v>
      </c>
      <c r="L18" s="21" t="s">
        <v>492</v>
      </c>
    </row>
    <row r="19" customFormat="false" ht="34.5" hidden="false" customHeight="true" outlineLevel="0" collapsed="false">
      <c r="A19" s="21" t="s">
        <v>132</v>
      </c>
      <c r="B19" s="21" t="s">
        <v>493</v>
      </c>
      <c r="C19" s="21" t="s">
        <v>133</v>
      </c>
      <c r="D19" s="21" t="s">
        <v>494</v>
      </c>
      <c r="E19" s="21" t="s">
        <v>495</v>
      </c>
      <c r="F19" s="21" t="s">
        <v>496</v>
      </c>
      <c r="G19" s="21" t="s">
        <v>497</v>
      </c>
      <c r="H19" s="21" t="s">
        <v>498</v>
      </c>
      <c r="I19" s="21" t="s">
        <v>499</v>
      </c>
      <c r="J19" s="21" t="s">
        <v>500</v>
      </c>
      <c r="K19" s="21" t="s">
        <v>438</v>
      </c>
      <c r="L19" s="21" t="s">
        <v>501</v>
      </c>
    </row>
    <row r="20" customFormat="false" ht="45.75" hidden="false" customHeight="true" outlineLevel="0" collapsed="false">
      <c r="A20" s="21" t="s">
        <v>134</v>
      </c>
      <c r="B20" s="21" t="s">
        <v>502</v>
      </c>
      <c r="C20" s="21" t="s">
        <v>135</v>
      </c>
      <c r="D20" s="21" t="s">
        <v>503</v>
      </c>
      <c r="E20" s="21" t="s">
        <v>504</v>
      </c>
      <c r="F20" s="21" t="s">
        <v>505</v>
      </c>
      <c r="G20" s="21" t="s">
        <v>506</v>
      </c>
      <c r="H20" s="21" t="s">
        <v>507</v>
      </c>
      <c r="I20" s="21" t="s">
        <v>508</v>
      </c>
      <c r="J20" s="21" t="s">
        <v>509</v>
      </c>
      <c r="K20" s="21" t="s">
        <v>382</v>
      </c>
      <c r="L20" s="21" t="s">
        <v>510</v>
      </c>
    </row>
    <row r="21" customFormat="false" ht="45.75" hidden="false" customHeight="true" outlineLevel="0" collapsed="false">
      <c r="A21" s="21" t="s">
        <v>137</v>
      </c>
      <c r="B21" s="21" t="s">
        <v>511</v>
      </c>
      <c r="C21" s="21" t="s">
        <v>138</v>
      </c>
      <c r="D21" s="21" t="s">
        <v>512</v>
      </c>
      <c r="E21" s="21" t="s">
        <v>513</v>
      </c>
      <c r="F21" s="21" t="s">
        <v>514</v>
      </c>
      <c r="G21" s="21" t="s">
        <v>515</v>
      </c>
      <c r="H21" s="21" t="s">
        <v>516</v>
      </c>
      <c r="I21" s="21" t="s">
        <v>517</v>
      </c>
      <c r="J21" s="21" t="s">
        <v>260</v>
      </c>
      <c r="K21" s="21" t="s">
        <v>363</v>
      </c>
      <c r="L21" s="21" t="s">
        <v>518</v>
      </c>
    </row>
    <row r="22" customFormat="false" ht="45.75" hidden="false" customHeight="true" outlineLevel="0" collapsed="false">
      <c r="A22" s="21" t="s">
        <v>140</v>
      </c>
      <c r="B22" s="21" t="s">
        <v>519</v>
      </c>
      <c r="C22" s="21" t="s">
        <v>141</v>
      </c>
      <c r="D22" s="21" t="s">
        <v>520</v>
      </c>
      <c r="E22" s="21" t="s">
        <v>521</v>
      </c>
      <c r="F22" s="21" t="s">
        <v>522</v>
      </c>
      <c r="G22" s="21" t="s">
        <v>523</v>
      </c>
      <c r="H22" s="21" t="s">
        <v>524</v>
      </c>
      <c r="I22" s="21" t="s">
        <v>525</v>
      </c>
      <c r="J22" s="21" t="s">
        <v>381</v>
      </c>
      <c r="K22" s="21" t="s">
        <v>382</v>
      </c>
      <c r="L22" s="21" t="s">
        <v>526</v>
      </c>
    </row>
    <row r="23" customFormat="false" ht="45.75" hidden="false" customHeight="true" outlineLevel="0" collapsed="false">
      <c r="A23" s="21" t="s">
        <v>143</v>
      </c>
      <c r="B23" s="21" t="s">
        <v>527</v>
      </c>
      <c r="C23" s="21" t="s">
        <v>144</v>
      </c>
      <c r="D23" s="21" t="s">
        <v>528</v>
      </c>
      <c r="E23" s="21" t="s">
        <v>529</v>
      </c>
      <c r="F23" s="21" t="s">
        <v>530</v>
      </c>
      <c r="G23" s="21" t="s">
        <v>531</v>
      </c>
      <c r="H23" s="21" t="s">
        <v>532</v>
      </c>
      <c r="I23" s="21" t="s">
        <v>287</v>
      </c>
      <c r="J23" s="21" t="s">
        <v>533</v>
      </c>
      <c r="K23" s="21" t="s">
        <v>534</v>
      </c>
      <c r="L23" s="21" t="s">
        <v>535</v>
      </c>
    </row>
    <row r="24" customFormat="false" ht="45.75" hidden="false" customHeight="true" outlineLevel="0" collapsed="false">
      <c r="A24" s="21" t="s">
        <v>146</v>
      </c>
      <c r="B24" s="21" t="s">
        <v>536</v>
      </c>
      <c r="C24" s="21" t="s">
        <v>147</v>
      </c>
      <c r="D24" s="21" t="s">
        <v>537</v>
      </c>
      <c r="E24" s="21" t="s">
        <v>538</v>
      </c>
      <c r="F24" s="21" t="s">
        <v>539</v>
      </c>
      <c r="G24" s="21" t="s">
        <v>540</v>
      </c>
      <c r="H24" s="21" t="s">
        <v>541</v>
      </c>
      <c r="I24" s="21" t="s">
        <v>542</v>
      </c>
      <c r="J24" s="21" t="s">
        <v>204</v>
      </c>
      <c r="K24" s="21" t="s">
        <v>344</v>
      </c>
      <c r="L24" s="21" t="s">
        <v>543</v>
      </c>
    </row>
    <row r="25" customFormat="false" ht="34.5" hidden="false" customHeight="true" outlineLevel="0" collapsed="false">
      <c r="A25" s="21" t="s">
        <v>149</v>
      </c>
      <c r="B25" s="21" t="s">
        <v>544</v>
      </c>
      <c r="C25" s="21" t="s">
        <v>150</v>
      </c>
      <c r="D25" s="21" t="s">
        <v>545</v>
      </c>
      <c r="E25" s="21" t="s">
        <v>546</v>
      </c>
      <c r="F25" s="21" t="s">
        <v>547</v>
      </c>
      <c r="G25" s="21" t="s">
        <v>548</v>
      </c>
      <c r="H25" s="21" t="s">
        <v>549</v>
      </c>
      <c r="I25" s="21" t="s">
        <v>550</v>
      </c>
      <c r="J25" s="21" t="s">
        <v>551</v>
      </c>
      <c r="K25" s="21" t="s">
        <v>382</v>
      </c>
      <c r="L25" s="21" t="s">
        <v>552</v>
      </c>
    </row>
    <row r="26" customFormat="false" ht="34.5" hidden="false" customHeight="true" outlineLevel="0" collapsed="false">
      <c r="A26" s="21" t="s">
        <v>152</v>
      </c>
      <c r="B26" s="21" t="s">
        <v>553</v>
      </c>
      <c r="C26" s="21" t="s">
        <v>153</v>
      </c>
      <c r="D26" s="21" t="s">
        <v>554</v>
      </c>
      <c r="E26" s="21" t="s">
        <v>555</v>
      </c>
      <c r="F26" s="21" t="s">
        <v>556</v>
      </c>
      <c r="G26" s="21" t="s">
        <v>557</v>
      </c>
      <c r="H26" s="21" t="s">
        <v>558</v>
      </c>
      <c r="I26" s="21" t="s">
        <v>490</v>
      </c>
      <c r="J26" s="21" t="s">
        <v>559</v>
      </c>
      <c r="K26" s="21" t="s">
        <v>344</v>
      </c>
      <c r="L26" s="21" t="s">
        <v>560</v>
      </c>
    </row>
    <row r="27" customFormat="false" ht="45.75" hidden="false" customHeight="true" outlineLevel="0" collapsed="false">
      <c r="A27" s="21" t="s">
        <v>154</v>
      </c>
      <c r="B27" s="21" t="s">
        <v>561</v>
      </c>
      <c r="C27" s="21" t="s">
        <v>155</v>
      </c>
      <c r="D27" s="21" t="s">
        <v>562</v>
      </c>
      <c r="E27" s="21" t="s">
        <v>563</v>
      </c>
      <c r="F27" s="21" t="s">
        <v>564</v>
      </c>
      <c r="G27" s="21" t="s">
        <v>565</v>
      </c>
      <c r="H27" s="21" t="s">
        <v>566</v>
      </c>
      <c r="I27" s="21" t="s">
        <v>567</v>
      </c>
      <c r="J27" s="21" t="s">
        <v>568</v>
      </c>
      <c r="K27" s="21" t="s">
        <v>344</v>
      </c>
      <c r="L27" s="21" t="s">
        <v>569</v>
      </c>
    </row>
    <row r="28" customFormat="false" ht="45.75" hidden="false" customHeight="true" outlineLevel="0" collapsed="false">
      <c r="A28" s="21" t="s">
        <v>157</v>
      </c>
      <c r="B28" s="21" t="s">
        <v>570</v>
      </c>
      <c r="C28" s="21" t="s">
        <v>158</v>
      </c>
      <c r="D28" s="21" t="s">
        <v>571</v>
      </c>
      <c r="E28" s="21" t="s">
        <v>572</v>
      </c>
      <c r="F28" s="21" t="s">
        <v>573</v>
      </c>
      <c r="G28" s="21" t="s">
        <v>574</v>
      </c>
      <c r="H28" s="21" t="s">
        <v>575</v>
      </c>
      <c r="I28" s="21" t="s">
        <v>576</v>
      </c>
      <c r="J28" s="21" t="s">
        <v>269</v>
      </c>
      <c r="K28" s="21" t="s">
        <v>465</v>
      </c>
      <c r="L28" s="21" t="s">
        <v>577</v>
      </c>
    </row>
    <row r="29" customFormat="false" ht="45.75" hidden="false" customHeight="true" outlineLevel="0" collapsed="false">
      <c r="A29" s="21" t="s">
        <v>160</v>
      </c>
      <c r="B29" s="21" t="s">
        <v>578</v>
      </c>
      <c r="C29" s="21" t="s">
        <v>161</v>
      </c>
      <c r="D29" s="21" t="s">
        <v>579</v>
      </c>
      <c r="E29" s="21" t="s">
        <v>580</v>
      </c>
      <c r="F29" s="21" t="s">
        <v>581</v>
      </c>
      <c r="G29" s="21" t="s">
        <v>582</v>
      </c>
      <c r="H29" s="21" t="s">
        <v>583</v>
      </c>
      <c r="I29" s="21" t="s">
        <v>584</v>
      </c>
      <c r="J29" s="21" t="s">
        <v>585</v>
      </c>
      <c r="K29" s="21" t="s">
        <v>419</v>
      </c>
      <c r="L29" s="21" t="s">
        <v>586</v>
      </c>
    </row>
    <row r="30" customFormat="false" ht="34.5" hidden="false" customHeight="true" outlineLevel="0" collapsed="false">
      <c r="A30" s="21" t="s">
        <v>163</v>
      </c>
      <c r="B30" s="21" t="s">
        <v>587</v>
      </c>
      <c r="C30" s="21" t="s">
        <v>164</v>
      </c>
      <c r="D30" s="21" t="s">
        <v>588</v>
      </c>
      <c r="E30" s="21" t="s">
        <v>589</v>
      </c>
      <c r="F30" s="21" t="s">
        <v>590</v>
      </c>
      <c r="G30" s="21" t="s">
        <v>591</v>
      </c>
      <c r="H30" s="21" t="s">
        <v>592</v>
      </c>
      <c r="I30" s="21" t="s">
        <v>593</v>
      </c>
      <c r="J30" s="21" t="s">
        <v>594</v>
      </c>
      <c r="K30" s="21" t="s">
        <v>595</v>
      </c>
      <c r="L30" s="21" t="s">
        <v>596</v>
      </c>
    </row>
    <row r="31" customFormat="false" ht="45.75" hidden="false" customHeight="true" outlineLevel="0" collapsed="false">
      <c r="A31" s="21" t="s">
        <v>166</v>
      </c>
      <c r="B31" s="21" t="s">
        <v>597</v>
      </c>
      <c r="C31" s="21" t="s">
        <v>167</v>
      </c>
      <c r="D31" s="21" t="s">
        <v>598</v>
      </c>
      <c r="E31" s="21" t="s">
        <v>599</v>
      </c>
      <c r="F31" s="21" t="s">
        <v>600</v>
      </c>
      <c r="G31" s="21" t="s">
        <v>601</v>
      </c>
      <c r="H31" s="21" t="s">
        <v>602</v>
      </c>
      <c r="I31" s="21" t="s">
        <v>603</v>
      </c>
      <c r="J31" s="21" t="s">
        <v>293</v>
      </c>
      <c r="K31" s="21" t="s">
        <v>344</v>
      </c>
      <c r="L31" s="21"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2"/>
    <col collapsed="false" customWidth="true" hidden="false" outlineLevel="0" max="4" min="4" style="1" width="38"/>
    <col collapsed="false" customWidth="true" hidden="false" outlineLevel="0" max="5" min="5" style="1" width="14"/>
    <col collapsed="false" customWidth="true" hidden="false" outlineLevel="0" max="6" min="6" style="1" width="28"/>
    <col collapsed="false" customWidth="true" hidden="false" outlineLevel="0" max="7" min="7" style="1" width="14"/>
    <col collapsed="false" customWidth="true" hidden="false" outlineLevel="0" max="8" min="8" style="1" width="18"/>
    <col collapsed="false" customWidth="true" hidden="false" outlineLevel="0" max="9" min="9" style="1" width="50"/>
  </cols>
  <sheetData>
    <row r="1" customFormat="false" ht="15" hidden="false" customHeight="true" outlineLevel="0" collapsed="false">
      <c r="A1" s="5" t="s">
        <v>27</v>
      </c>
      <c r="B1" s="5" t="s">
        <v>605</v>
      </c>
      <c r="C1" s="5" t="s">
        <v>329</v>
      </c>
      <c r="D1" s="5" t="s">
        <v>606</v>
      </c>
      <c r="E1" s="5" t="s">
        <v>607</v>
      </c>
      <c r="F1" s="5" t="s">
        <v>608</v>
      </c>
      <c r="G1" s="5" t="s">
        <v>327</v>
      </c>
      <c r="H1" s="5" t="s">
        <v>609</v>
      </c>
      <c r="I1" s="5" t="s">
        <v>610</v>
      </c>
    </row>
    <row r="2" customFormat="false" ht="23.25" hidden="false" customHeight="true" outlineLevel="0" collapsed="false">
      <c r="A2" s="21" t="s">
        <v>611</v>
      </c>
      <c r="B2" s="21" t="s">
        <v>612</v>
      </c>
      <c r="C2" s="21" t="s">
        <v>613</v>
      </c>
      <c r="D2" s="21" t="s">
        <v>614</v>
      </c>
      <c r="E2" s="21" t="s">
        <v>615</v>
      </c>
      <c r="F2" s="21" t="s">
        <v>616</v>
      </c>
      <c r="G2" s="21" t="s">
        <v>617</v>
      </c>
      <c r="H2" s="21" t="s">
        <v>618</v>
      </c>
      <c r="I2" s="21" t="s">
        <v>619</v>
      </c>
    </row>
    <row r="3" customFormat="false" ht="23.25" hidden="false" customHeight="true" outlineLevel="0" collapsed="false">
      <c r="A3" s="21" t="s">
        <v>620</v>
      </c>
      <c r="B3" s="21" t="s">
        <v>621</v>
      </c>
      <c r="C3" s="21" t="s">
        <v>622</v>
      </c>
      <c r="D3" s="21" t="s">
        <v>623</v>
      </c>
      <c r="E3" s="21" t="s">
        <v>624</v>
      </c>
      <c r="F3" s="21" t="s">
        <v>625</v>
      </c>
      <c r="G3" s="21" t="s">
        <v>346</v>
      </c>
      <c r="H3" s="21" t="s">
        <v>626</v>
      </c>
      <c r="I3" s="21" t="s">
        <v>627</v>
      </c>
    </row>
    <row r="4" customFormat="false" ht="23.25" hidden="false" customHeight="true" outlineLevel="0" collapsed="false">
      <c r="A4" s="21" t="s">
        <v>628</v>
      </c>
      <c r="B4" s="21" t="s">
        <v>629</v>
      </c>
      <c r="C4" s="21" t="s">
        <v>630</v>
      </c>
      <c r="D4" s="21" t="s">
        <v>631</v>
      </c>
      <c r="E4" s="21" t="s">
        <v>632</v>
      </c>
      <c r="F4" s="21" t="s">
        <v>633</v>
      </c>
      <c r="G4" s="21" t="s">
        <v>356</v>
      </c>
      <c r="H4" s="21" t="s">
        <v>634</v>
      </c>
      <c r="I4" s="21" t="s">
        <v>635</v>
      </c>
    </row>
    <row r="5" customFormat="false" ht="23.25" hidden="false" customHeight="true" outlineLevel="0" collapsed="false">
      <c r="A5" s="21" t="s">
        <v>636</v>
      </c>
      <c r="B5" s="21" t="s">
        <v>637</v>
      </c>
      <c r="C5" s="21" t="s">
        <v>638</v>
      </c>
      <c r="D5" s="21" t="s">
        <v>639</v>
      </c>
      <c r="E5" s="21" t="s">
        <v>640</v>
      </c>
      <c r="F5" s="21" t="s">
        <v>641</v>
      </c>
      <c r="G5" s="21" t="s">
        <v>365</v>
      </c>
      <c r="H5" s="21" t="s">
        <v>642</v>
      </c>
      <c r="I5" s="21" t="s">
        <v>643</v>
      </c>
    </row>
    <row r="6" customFormat="false" ht="23.25" hidden="false" customHeight="true" outlineLevel="0" collapsed="false">
      <c r="A6" s="21" t="s">
        <v>644</v>
      </c>
      <c r="B6" s="21" t="s">
        <v>645</v>
      </c>
      <c r="C6" s="21" t="s">
        <v>646</v>
      </c>
      <c r="D6" s="21" t="s">
        <v>647</v>
      </c>
      <c r="E6" s="21" t="s">
        <v>648</v>
      </c>
      <c r="F6" s="21" t="s">
        <v>649</v>
      </c>
      <c r="G6" s="21" t="s">
        <v>431</v>
      </c>
      <c r="H6" s="21" t="s">
        <v>650</v>
      </c>
      <c r="I6" s="21" t="s">
        <v>651</v>
      </c>
    </row>
    <row r="7" customFormat="false" ht="23.25" hidden="false" customHeight="true" outlineLevel="0" collapsed="false">
      <c r="A7" s="21" t="s">
        <v>652</v>
      </c>
      <c r="B7" s="21" t="s">
        <v>653</v>
      </c>
      <c r="C7" s="21" t="s">
        <v>654</v>
      </c>
      <c r="D7" s="21" t="s">
        <v>655</v>
      </c>
      <c r="E7" s="21" t="s">
        <v>656</v>
      </c>
      <c r="F7" s="21" t="s">
        <v>657</v>
      </c>
      <c r="G7" s="21" t="s">
        <v>440</v>
      </c>
      <c r="H7" s="21" t="s">
        <v>658</v>
      </c>
      <c r="I7" s="21" t="s">
        <v>659</v>
      </c>
    </row>
    <row r="8" customFormat="false" ht="23.25" hidden="false" customHeight="true" outlineLevel="0" collapsed="false">
      <c r="A8" s="21" t="s">
        <v>660</v>
      </c>
      <c r="B8" s="21" t="s">
        <v>97</v>
      </c>
      <c r="C8" s="21" t="s">
        <v>661</v>
      </c>
      <c r="D8" s="21" t="s">
        <v>662</v>
      </c>
      <c r="E8" s="21" t="s">
        <v>663</v>
      </c>
      <c r="F8" s="21" t="s">
        <v>664</v>
      </c>
      <c r="G8" s="21" t="s">
        <v>384</v>
      </c>
      <c r="H8" s="21" t="s">
        <v>665</v>
      </c>
      <c r="I8" s="21" t="s">
        <v>666</v>
      </c>
    </row>
    <row r="9" customFormat="false" ht="23.25" hidden="false" customHeight="true" outlineLevel="0" collapsed="false">
      <c r="A9" s="21" t="s">
        <v>667</v>
      </c>
      <c r="B9" s="21" t="s">
        <v>668</v>
      </c>
      <c r="C9" s="21" t="s">
        <v>669</v>
      </c>
      <c r="D9" s="21" t="s">
        <v>670</v>
      </c>
      <c r="E9" s="21" t="s">
        <v>671</v>
      </c>
      <c r="F9" s="21" t="s">
        <v>672</v>
      </c>
      <c r="G9" s="21" t="s">
        <v>673</v>
      </c>
      <c r="H9" s="21" t="s">
        <v>674</v>
      </c>
      <c r="I9" s="21" t="s">
        <v>675</v>
      </c>
    </row>
    <row r="10" customFormat="false" ht="23.25" hidden="false" customHeight="true" outlineLevel="0" collapsed="false">
      <c r="A10" s="21" t="s">
        <v>676</v>
      </c>
      <c r="B10" s="21" t="s">
        <v>677</v>
      </c>
      <c r="C10" s="21" t="s">
        <v>613</v>
      </c>
      <c r="D10" s="21" t="s">
        <v>678</v>
      </c>
      <c r="E10" s="21" t="s">
        <v>679</v>
      </c>
      <c r="F10" s="21" t="s">
        <v>680</v>
      </c>
      <c r="G10" s="21" t="s">
        <v>681</v>
      </c>
      <c r="H10" s="21" t="s">
        <v>682</v>
      </c>
      <c r="I10" s="21" t="s">
        <v>683</v>
      </c>
    </row>
    <row r="11" customFormat="false" ht="15" hidden="false" customHeight="true" outlineLevel="0" collapsed="false">
      <c r="A11" s="21" t="s">
        <v>684</v>
      </c>
      <c r="B11" s="21" t="s">
        <v>685</v>
      </c>
      <c r="C11" s="21" t="s">
        <v>686</v>
      </c>
      <c r="D11" s="21" t="s">
        <v>687</v>
      </c>
      <c r="E11" s="21" t="s">
        <v>688</v>
      </c>
      <c r="F11" s="21" t="s">
        <v>689</v>
      </c>
      <c r="G11" s="21" t="s">
        <v>449</v>
      </c>
      <c r="H11" s="21" t="s">
        <v>690</v>
      </c>
      <c r="I11" s="21" t="s">
        <v>691</v>
      </c>
    </row>
    <row r="12" customFormat="false" ht="23.25" hidden="false" customHeight="true" outlineLevel="0" collapsed="false">
      <c r="A12" s="21" t="s">
        <v>692</v>
      </c>
      <c r="B12" s="21" t="s">
        <v>693</v>
      </c>
      <c r="C12" s="21" t="s">
        <v>694</v>
      </c>
      <c r="D12" s="21" t="s">
        <v>695</v>
      </c>
      <c r="E12" s="21" t="s">
        <v>696</v>
      </c>
      <c r="F12" s="21" t="s">
        <v>697</v>
      </c>
      <c r="G12" s="21" t="s">
        <v>698</v>
      </c>
      <c r="H12" s="21" t="s">
        <v>699</v>
      </c>
      <c r="I12" s="21" t="s">
        <v>700</v>
      </c>
    </row>
    <row r="13" customFormat="false" ht="23.25" hidden="false" customHeight="true" outlineLevel="0" collapsed="false">
      <c r="A13" s="21" t="s">
        <v>701</v>
      </c>
      <c r="B13" s="21" t="s">
        <v>702</v>
      </c>
      <c r="C13" s="21" t="s">
        <v>703</v>
      </c>
      <c r="D13" s="21" t="s">
        <v>704</v>
      </c>
      <c r="E13" s="21" t="s">
        <v>705</v>
      </c>
      <c r="F13" s="21" t="s">
        <v>706</v>
      </c>
      <c r="G13" s="21" t="s">
        <v>421</v>
      </c>
      <c r="H13" s="21" t="s">
        <v>707</v>
      </c>
      <c r="I13" s="21" t="s">
        <v>708</v>
      </c>
    </row>
    <row r="14" customFormat="false" ht="23.25" hidden="false" customHeight="true" outlineLevel="0" collapsed="false">
      <c r="A14" s="21" t="s">
        <v>709</v>
      </c>
      <c r="B14" s="21" t="s">
        <v>710</v>
      </c>
      <c r="C14" s="21" t="s">
        <v>711</v>
      </c>
      <c r="D14" s="21" t="s">
        <v>712</v>
      </c>
      <c r="E14" s="21" t="s">
        <v>713</v>
      </c>
      <c r="F14" s="21" t="s">
        <v>714</v>
      </c>
      <c r="G14" s="21" t="s">
        <v>411</v>
      </c>
      <c r="H14" s="21" t="s">
        <v>715</v>
      </c>
      <c r="I14" s="21" t="s">
        <v>716</v>
      </c>
    </row>
    <row r="15" customFormat="false" ht="23.25" hidden="false" customHeight="true" outlineLevel="0" collapsed="false">
      <c r="A15" s="21" t="s">
        <v>717</v>
      </c>
      <c r="B15" s="21" t="s">
        <v>718</v>
      </c>
      <c r="C15" s="21" t="s">
        <v>719</v>
      </c>
      <c r="D15" s="21" t="s">
        <v>720</v>
      </c>
      <c r="E15" s="21" t="s">
        <v>671</v>
      </c>
      <c r="F15" s="21" t="s">
        <v>721</v>
      </c>
      <c r="G15" s="21" t="s">
        <v>722</v>
      </c>
      <c r="H15" s="21" t="s">
        <v>723</v>
      </c>
      <c r="I15" s="21" t="s">
        <v>724</v>
      </c>
    </row>
    <row r="16" customFormat="false" ht="23.25" hidden="false" customHeight="true" outlineLevel="0" collapsed="false">
      <c r="A16" s="21" t="s">
        <v>725</v>
      </c>
      <c r="B16" s="21" t="s">
        <v>726</v>
      </c>
      <c r="C16" s="21" t="s">
        <v>727</v>
      </c>
      <c r="D16" s="21" t="s">
        <v>728</v>
      </c>
      <c r="E16" s="21" t="s">
        <v>729</v>
      </c>
      <c r="F16" s="21" t="s">
        <v>730</v>
      </c>
      <c r="G16" s="21" t="s">
        <v>731</v>
      </c>
      <c r="H16" s="21" t="s">
        <v>732</v>
      </c>
      <c r="I16" s="21" t="s">
        <v>733</v>
      </c>
    </row>
    <row r="17" customFormat="false" ht="23.25" hidden="false" customHeight="true" outlineLevel="0" collapsed="false">
      <c r="A17" s="21" t="s">
        <v>734</v>
      </c>
      <c r="B17" s="21" t="s">
        <v>735</v>
      </c>
      <c r="C17" s="21" t="s">
        <v>736</v>
      </c>
      <c r="D17" s="21" t="s">
        <v>737</v>
      </c>
      <c r="E17" s="21" t="s">
        <v>632</v>
      </c>
      <c r="F17" s="21" t="s">
        <v>738</v>
      </c>
      <c r="G17" s="21" t="s">
        <v>739</v>
      </c>
      <c r="H17" s="21" t="s">
        <v>740</v>
      </c>
      <c r="I17" s="21" t="s">
        <v>741</v>
      </c>
    </row>
    <row r="18" customFormat="false" ht="23.25" hidden="false" customHeight="true" outlineLevel="0" collapsed="false">
      <c r="A18" s="21" t="s">
        <v>742</v>
      </c>
      <c r="B18" s="21" t="s">
        <v>743</v>
      </c>
      <c r="C18" s="21" t="s">
        <v>744</v>
      </c>
      <c r="D18" s="21" t="s">
        <v>745</v>
      </c>
      <c r="E18" s="21" t="s">
        <v>746</v>
      </c>
      <c r="F18" s="21" t="s">
        <v>747</v>
      </c>
      <c r="G18" s="21" t="s">
        <v>748</v>
      </c>
      <c r="H18" s="21" t="s">
        <v>749</v>
      </c>
      <c r="I18" s="21" t="s">
        <v>750</v>
      </c>
    </row>
    <row r="19" customFormat="false" ht="15" hidden="false" customHeight="true" outlineLevel="0" collapsed="false">
      <c r="A19" s="21" t="s">
        <v>751</v>
      </c>
      <c r="B19" s="21" t="s">
        <v>752</v>
      </c>
      <c r="C19" s="21" t="s">
        <v>753</v>
      </c>
      <c r="D19" s="21" t="s">
        <v>754</v>
      </c>
      <c r="E19" s="21" t="s">
        <v>755</v>
      </c>
      <c r="F19" s="21" t="s">
        <v>756</v>
      </c>
      <c r="G19" s="21" t="s">
        <v>457</v>
      </c>
      <c r="H19" s="21" t="s">
        <v>757</v>
      </c>
      <c r="I19" s="21" t="s">
        <v>758</v>
      </c>
    </row>
    <row r="20" customFormat="false" ht="15" hidden="false" customHeight="true" outlineLevel="0" collapsed="false">
      <c r="A20" s="21" t="s">
        <v>759</v>
      </c>
      <c r="B20" s="21" t="s">
        <v>760</v>
      </c>
      <c r="C20" s="21" t="s">
        <v>761</v>
      </c>
      <c r="D20" s="21" t="s">
        <v>762</v>
      </c>
      <c r="E20" s="21" t="s">
        <v>763</v>
      </c>
      <c r="F20" s="21" t="s">
        <v>764</v>
      </c>
      <c r="G20" s="21" t="s">
        <v>467</v>
      </c>
      <c r="H20" s="21" t="s">
        <v>765</v>
      </c>
      <c r="I20" s="21" t="s">
        <v>766</v>
      </c>
    </row>
    <row r="21" customFormat="false" ht="15" hidden="false" customHeight="true" outlineLevel="0" collapsed="false">
      <c r="A21" s="21" t="s">
        <v>767</v>
      </c>
      <c r="B21" s="21" t="s">
        <v>768</v>
      </c>
      <c r="C21" s="21" t="s">
        <v>613</v>
      </c>
      <c r="D21" s="21" t="s">
        <v>769</v>
      </c>
      <c r="E21" s="21" t="s">
        <v>770</v>
      </c>
      <c r="F21" s="21" t="s">
        <v>771</v>
      </c>
      <c r="G21" s="21" t="s">
        <v>731</v>
      </c>
      <c r="H21" s="21" t="s">
        <v>772</v>
      </c>
      <c r="I21" s="21" t="s">
        <v>773</v>
      </c>
    </row>
    <row r="22" customFormat="false" ht="23.25" hidden="false" customHeight="true" outlineLevel="0" collapsed="false">
      <c r="A22" s="21" t="s">
        <v>774</v>
      </c>
      <c r="B22" s="21" t="s">
        <v>775</v>
      </c>
      <c r="C22" s="21" t="s">
        <v>776</v>
      </c>
      <c r="D22" s="21" t="s">
        <v>777</v>
      </c>
      <c r="E22" s="21" t="s">
        <v>778</v>
      </c>
      <c r="F22" s="21" t="s">
        <v>779</v>
      </c>
      <c r="G22" s="21" t="s">
        <v>780</v>
      </c>
      <c r="H22" s="21" t="s">
        <v>781</v>
      </c>
      <c r="I22" s="21" t="s">
        <v>782</v>
      </c>
    </row>
    <row r="23" customFormat="false" ht="15" hidden="false" customHeight="true" outlineLevel="0" collapsed="false">
      <c r="A23" s="21" t="s">
        <v>783</v>
      </c>
      <c r="B23" s="21" t="s">
        <v>784</v>
      </c>
      <c r="C23" s="21" t="s">
        <v>785</v>
      </c>
      <c r="D23" s="21" t="s">
        <v>786</v>
      </c>
      <c r="E23" s="21" t="s">
        <v>787</v>
      </c>
      <c r="F23" s="21" t="s">
        <v>788</v>
      </c>
      <c r="G23" s="21" t="s">
        <v>789</v>
      </c>
      <c r="H23" s="21" t="s">
        <v>790</v>
      </c>
      <c r="I23" s="21" t="s">
        <v>791</v>
      </c>
    </row>
    <row r="24" customFormat="false" ht="23.25" hidden="false" customHeight="true" outlineLevel="0" collapsed="false">
      <c r="A24" s="21" t="s">
        <v>792</v>
      </c>
      <c r="B24" s="21" t="s">
        <v>793</v>
      </c>
      <c r="C24" s="21" t="s">
        <v>613</v>
      </c>
      <c r="D24" s="21" t="s">
        <v>794</v>
      </c>
      <c r="E24" s="21" t="s">
        <v>795</v>
      </c>
      <c r="F24" s="21" t="s">
        <v>796</v>
      </c>
      <c r="G24" s="21" t="s">
        <v>797</v>
      </c>
      <c r="H24" s="21" t="s">
        <v>798</v>
      </c>
      <c r="I24" s="21" t="s">
        <v>799</v>
      </c>
    </row>
    <row r="25" customFormat="false" ht="15" hidden="false" customHeight="true" outlineLevel="0" collapsed="false">
      <c r="A25" s="21" t="s">
        <v>800</v>
      </c>
      <c r="B25" s="21" t="s">
        <v>801</v>
      </c>
      <c r="C25" s="21" t="s">
        <v>802</v>
      </c>
      <c r="D25" s="21" t="s">
        <v>803</v>
      </c>
      <c r="E25" s="21" t="s">
        <v>729</v>
      </c>
      <c r="F25" s="21" t="s">
        <v>804</v>
      </c>
      <c r="G25" s="21" t="s">
        <v>805</v>
      </c>
      <c r="H25" s="21" t="s">
        <v>806</v>
      </c>
      <c r="I25" s="21" t="s">
        <v>807</v>
      </c>
    </row>
    <row r="26" customFormat="false" ht="15" hidden="false" customHeight="true" outlineLevel="0" collapsed="false">
      <c r="A26" s="21" t="s">
        <v>808</v>
      </c>
      <c r="B26" s="21" t="s">
        <v>809</v>
      </c>
      <c r="C26" s="21" t="s">
        <v>810</v>
      </c>
      <c r="D26" s="21" t="s">
        <v>811</v>
      </c>
      <c r="E26" s="21" t="s">
        <v>812</v>
      </c>
      <c r="F26" s="21" t="s">
        <v>813</v>
      </c>
      <c r="G26" s="21" t="s">
        <v>814</v>
      </c>
      <c r="H26" s="21" t="s">
        <v>815</v>
      </c>
      <c r="I26" s="21" t="s">
        <v>816</v>
      </c>
    </row>
    <row r="27" customFormat="false" ht="23.25" hidden="false" customHeight="true" outlineLevel="0" collapsed="false">
      <c r="A27" s="21" t="s">
        <v>817</v>
      </c>
      <c r="B27" s="21" t="s">
        <v>818</v>
      </c>
      <c r="C27" s="21" t="s">
        <v>613</v>
      </c>
      <c r="D27" s="21" t="s">
        <v>819</v>
      </c>
      <c r="E27" s="21" t="s">
        <v>632</v>
      </c>
      <c r="F27" s="21" t="s">
        <v>820</v>
      </c>
      <c r="G27" s="21" t="s">
        <v>821</v>
      </c>
      <c r="H27" s="21" t="s">
        <v>822</v>
      </c>
      <c r="I27" s="21" t="s">
        <v>823</v>
      </c>
    </row>
    <row r="28" customFormat="false" ht="15" hidden="false" customHeight="true" outlineLevel="0" collapsed="false">
      <c r="A28" s="21" t="s">
        <v>824</v>
      </c>
      <c r="B28" s="21" t="s">
        <v>825</v>
      </c>
      <c r="C28" s="21" t="s">
        <v>826</v>
      </c>
      <c r="D28" s="21" t="s">
        <v>827</v>
      </c>
      <c r="E28" s="21" t="s">
        <v>828</v>
      </c>
      <c r="F28" s="21" t="s">
        <v>829</v>
      </c>
      <c r="G28" s="21" t="s">
        <v>544</v>
      </c>
      <c r="H28" s="21" t="s">
        <v>830</v>
      </c>
      <c r="I28" s="21" t="s">
        <v>831</v>
      </c>
    </row>
    <row r="29" customFormat="false" ht="15" hidden="false" customHeight="true" outlineLevel="0" collapsed="false">
      <c r="A29" s="21" t="s">
        <v>832</v>
      </c>
      <c r="B29" s="21" t="s">
        <v>833</v>
      </c>
      <c r="C29" s="21" t="s">
        <v>834</v>
      </c>
      <c r="D29" s="21" t="s">
        <v>835</v>
      </c>
      <c r="E29" s="21" t="s">
        <v>836</v>
      </c>
      <c r="F29" s="21" t="s">
        <v>697</v>
      </c>
      <c r="G29" s="21" t="s">
        <v>837</v>
      </c>
      <c r="H29" s="21" t="s">
        <v>838</v>
      </c>
      <c r="I29" s="21" t="s">
        <v>839</v>
      </c>
    </row>
    <row r="30" customFormat="false" ht="15" hidden="false" customHeight="true" outlineLevel="0" collapsed="false">
      <c r="A30" s="21" t="s">
        <v>840</v>
      </c>
      <c r="B30" s="21" t="s">
        <v>841</v>
      </c>
      <c r="C30" s="21" t="s">
        <v>842</v>
      </c>
      <c r="D30" s="21" t="s">
        <v>843</v>
      </c>
      <c r="E30" s="21" t="s">
        <v>729</v>
      </c>
      <c r="F30" s="21" t="s">
        <v>844</v>
      </c>
      <c r="G30" s="21" t="s">
        <v>561</v>
      </c>
      <c r="H30" s="21" t="s">
        <v>845</v>
      </c>
      <c r="I30" s="21" t="s">
        <v>846</v>
      </c>
    </row>
    <row r="31" customFormat="false" ht="15" hidden="false" customHeight="true" outlineLevel="0" collapsed="false">
      <c r="A31" s="21" t="s">
        <v>847</v>
      </c>
      <c r="B31" s="21" t="s">
        <v>848</v>
      </c>
      <c r="C31" s="21" t="s">
        <v>849</v>
      </c>
      <c r="D31" s="21" t="s">
        <v>850</v>
      </c>
      <c r="E31" s="21" t="s">
        <v>770</v>
      </c>
      <c r="F31" s="21" t="s">
        <v>771</v>
      </c>
      <c r="G31" s="21" t="s">
        <v>851</v>
      </c>
      <c r="H31" s="21" t="s">
        <v>852</v>
      </c>
      <c r="I31" s="21" t="s">
        <v>853</v>
      </c>
    </row>
    <row r="32" customFormat="false" ht="15" hidden="false" customHeight="true" outlineLevel="0" collapsed="false">
      <c r="A32" s="21" t="s">
        <v>854</v>
      </c>
      <c r="B32" s="21" t="s">
        <v>855</v>
      </c>
      <c r="C32" s="21" t="s">
        <v>856</v>
      </c>
      <c r="D32" s="21" t="s">
        <v>857</v>
      </c>
      <c r="E32" s="21" t="s">
        <v>663</v>
      </c>
      <c r="F32" s="21" t="s">
        <v>858</v>
      </c>
      <c r="G32" s="21" t="s">
        <v>859</v>
      </c>
      <c r="H32" s="21" t="s">
        <v>860</v>
      </c>
      <c r="I32" s="21" t="s">
        <v>861</v>
      </c>
    </row>
    <row r="33" customFormat="false" ht="23.25" hidden="false" customHeight="true" outlineLevel="0" collapsed="false">
      <c r="A33" s="21" t="s">
        <v>862</v>
      </c>
      <c r="B33" s="21" t="s">
        <v>863</v>
      </c>
      <c r="C33" s="21" t="s">
        <v>864</v>
      </c>
      <c r="D33" s="21" t="s">
        <v>865</v>
      </c>
      <c r="E33" s="21" t="s">
        <v>866</v>
      </c>
      <c r="F33" s="21" t="s">
        <v>867</v>
      </c>
      <c r="G33" s="21" t="s">
        <v>868</v>
      </c>
      <c r="H33" s="21" t="s">
        <v>869</v>
      </c>
      <c r="I33" s="21" t="s">
        <v>870</v>
      </c>
    </row>
    <row r="34" customFormat="false" ht="15" hidden="false" customHeight="true" outlineLevel="0" collapsed="false">
      <c r="A34" s="21" t="s">
        <v>871</v>
      </c>
      <c r="B34" s="21" t="s">
        <v>872</v>
      </c>
      <c r="C34" s="21" t="s">
        <v>873</v>
      </c>
      <c r="D34" s="21" t="s">
        <v>874</v>
      </c>
      <c r="E34" s="21" t="s">
        <v>875</v>
      </c>
      <c r="F34" s="21" t="s">
        <v>876</v>
      </c>
      <c r="G34" s="21" t="s">
        <v>877</v>
      </c>
      <c r="H34" s="21" t="s">
        <v>878</v>
      </c>
      <c r="I34" s="21" t="s">
        <v>879</v>
      </c>
    </row>
    <row r="35" customFormat="false" ht="15" hidden="false" customHeight="true" outlineLevel="0" collapsed="false">
      <c r="A35" s="21" t="s">
        <v>880</v>
      </c>
      <c r="B35" s="21" t="s">
        <v>881</v>
      </c>
      <c r="C35" s="21" t="s">
        <v>622</v>
      </c>
      <c r="D35" s="21" t="s">
        <v>882</v>
      </c>
      <c r="E35" s="21" t="s">
        <v>632</v>
      </c>
      <c r="F35" s="21" t="s">
        <v>883</v>
      </c>
      <c r="G35" s="21" t="s">
        <v>884</v>
      </c>
      <c r="H35" s="21" t="s">
        <v>885</v>
      </c>
      <c r="I35" s="21" t="s">
        <v>886</v>
      </c>
    </row>
    <row r="36" customFormat="false" ht="23.25" hidden="false" customHeight="true" outlineLevel="0" collapsed="false">
      <c r="A36" s="21" t="s">
        <v>887</v>
      </c>
      <c r="B36" s="21" t="s">
        <v>888</v>
      </c>
      <c r="C36" s="21" t="s">
        <v>889</v>
      </c>
      <c r="D36" s="21" t="s">
        <v>890</v>
      </c>
      <c r="E36" s="21" t="s">
        <v>770</v>
      </c>
      <c r="F36" s="21" t="s">
        <v>891</v>
      </c>
      <c r="G36" s="21" t="s">
        <v>892</v>
      </c>
      <c r="H36" s="21" t="s">
        <v>893</v>
      </c>
      <c r="I36" s="21" t="s">
        <v>894</v>
      </c>
    </row>
    <row r="37" customFormat="false" ht="23.25" hidden="false" customHeight="true" outlineLevel="0" collapsed="false">
      <c r="A37" s="21" t="s">
        <v>895</v>
      </c>
      <c r="B37" s="21" t="s">
        <v>896</v>
      </c>
      <c r="C37" s="21" t="s">
        <v>613</v>
      </c>
      <c r="D37" s="21" t="s">
        <v>897</v>
      </c>
      <c r="E37" s="21" t="s">
        <v>763</v>
      </c>
      <c r="F37" s="21" t="s">
        <v>898</v>
      </c>
      <c r="G37" s="21" t="s">
        <v>899</v>
      </c>
      <c r="H37" s="21" t="s">
        <v>900</v>
      </c>
      <c r="I37" s="21" t="s">
        <v>901</v>
      </c>
    </row>
    <row r="38" customFormat="false" ht="15" hidden="false" customHeight="true" outlineLevel="0" collapsed="false">
      <c r="A38" s="21" t="s">
        <v>902</v>
      </c>
      <c r="B38" s="21" t="s">
        <v>903</v>
      </c>
      <c r="C38" s="21" t="s">
        <v>613</v>
      </c>
      <c r="D38" s="21" t="s">
        <v>904</v>
      </c>
      <c r="E38" s="21" t="s">
        <v>905</v>
      </c>
      <c r="F38" s="21" t="s">
        <v>906</v>
      </c>
      <c r="G38" s="21" t="s">
        <v>907</v>
      </c>
      <c r="H38" s="21" t="s">
        <v>908</v>
      </c>
      <c r="I38" s="21" t="s">
        <v>909</v>
      </c>
    </row>
    <row r="39" customFormat="false" ht="23.25" hidden="false" customHeight="true" outlineLevel="0" collapsed="false">
      <c r="A39" s="21" t="s">
        <v>910</v>
      </c>
      <c r="B39" s="21" t="s">
        <v>911</v>
      </c>
      <c r="C39" s="21" t="s">
        <v>753</v>
      </c>
      <c r="D39" s="21" t="s">
        <v>912</v>
      </c>
      <c r="E39" s="21" t="s">
        <v>913</v>
      </c>
      <c r="F39" s="21" t="s">
        <v>914</v>
      </c>
      <c r="G39" s="21" t="s">
        <v>915</v>
      </c>
      <c r="H39" s="21" t="s">
        <v>908</v>
      </c>
      <c r="I39" s="21" t="s">
        <v>916</v>
      </c>
    </row>
    <row r="40" customFormat="false" ht="23.25" hidden="false" customHeight="true" outlineLevel="0" collapsed="false">
      <c r="A40" s="21" t="s">
        <v>917</v>
      </c>
      <c r="B40" s="21" t="s">
        <v>918</v>
      </c>
      <c r="C40" s="21" t="s">
        <v>919</v>
      </c>
      <c r="D40" s="21" t="s">
        <v>920</v>
      </c>
      <c r="E40" s="21" t="s">
        <v>921</v>
      </c>
      <c r="F40" s="21" t="s">
        <v>922</v>
      </c>
      <c r="G40" s="21" t="s">
        <v>923</v>
      </c>
      <c r="H40" s="21" t="s">
        <v>908</v>
      </c>
      <c r="I40" s="21" t="s">
        <v>924</v>
      </c>
    </row>
    <row r="41" customFormat="false" ht="15" hidden="false" customHeight="true" outlineLevel="0" collapsed="false">
      <c r="A41" s="21" t="s">
        <v>925</v>
      </c>
      <c r="B41" s="21" t="s">
        <v>926</v>
      </c>
      <c r="C41" s="21" t="s">
        <v>719</v>
      </c>
      <c r="D41" s="21" t="s">
        <v>927</v>
      </c>
      <c r="E41" s="21" t="s">
        <v>671</v>
      </c>
      <c r="F41" s="21" t="s">
        <v>928</v>
      </c>
      <c r="G41" s="21" t="s">
        <v>929</v>
      </c>
      <c r="H41" s="21" t="s">
        <v>723</v>
      </c>
      <c r="I41" s="21" t="s">
        <v>930</v>
      </c>
    </row>
    <row r="42" customFormat="false" ht="15" hidden="false" customHeight="true" outlineLevel="0" collapsed="false">
      <c r="A42" s="21" t="s">
        <v>931</v>
      </c>
      <c r="B42" s="21" t="s">
        <v>932</v>
      </c>
      <c r="C42" s="21" t="s">
        <v>613</v>
      </c>
      <c r="D42" s="21" t="s">
        <v>933</v>
      </c>
      <c r="E42" s="21" t="s">
        <v>934</v>
      </c>
      <c r="F42" s="21" t="s">
        <v>935</v>
      </c>
      <c r="G42" s="21" t="s">
        <v>936</v>
      </c>
      <c r="H42" s="21" t="s">
        <v>937</v>
      </c>
      <c r="I42" s="21" t="s">
        <v>938</v>
      </c>
    </row>
    <row r="43" customFormat="false" ht="15" hidden="false" customHeight="true" outlineLevel="0" collapsed="false">
      <c r="A43" s="21" t="s">
        <v>939</v>
      </c>
      <c r="B43" s="21" t="s">
        <v>940</v>
      </c>
      <c r="C43" s="21" t="s">
        <v>941</v>
      </c>
      <c r="D43" s="21" t="s">
        <v>942</v>
      </c>
      <c r="E43" s="21" t="s">
        <v>729</v>
      </c>
      <c r="F43" s="21" t="s">
        <v>697</v>
      </c>
      <c r="G43" s="21" t="s">
        <v>561</v>
      </c>
      <c r="H43" s="21" t="s">
        <v>943</v>
      </c>
      <c r="I43" s="21" t="s">
        <v>944</v>
      </c>
    </row>
    <row r="44" customFormat="false" ht="15" hidden="false" customHeight="true" outlineLevel="0" collapsed="false">
      <c r="A44" s="21" t="s">
        <v>945</v>
      </c>
      <c r="B44" s="21" t="s">
        <v>946</v>
      </c>
      <c r="C44" s="21" t="s">
        <v>613</v>
      </c>
      <c r="D44" s="21" t="s">
        <v>947</v>
      </c>
      <c r="E44" s="21" t="s">
        <v>656</v>
      </c>
      <c r="F44" s="21" t="s">
        <v>948</v>
      </c>
      <c r="G44" s="21" t="s">
        <v>949</v>
      </c>
      <c r="H44" s="21" t="s">
        <v>950</v>
      </c>
      <c r="I44" s="21" t="s">
        <v>951</v>
      </c>
    </row>
    <row r="45" customFormat="false" ht="15" hidden="false" customHeight="true" outlineLevel="0" collapsed="false">
      <c r="A45" s="21" t="s">
        <v>952</v>
      </c>
      <c r="B45" s="21" t="s">
        <v>953</v>
      </c>
      <c r="C45" s="21" t="s">
        <v>954</v>
      </c>
      <c r="D45" s="21" t="s">
        <v>955</v>
      </c>
      <c r="E45" s="21" t="s">
        <v>956</v>
      </c>
      <c r="F45" s="21" t="s">
        <v>957</v>
      </c>
      <c r="G45" s="21" t="s">
        <v>958</v>
      </c>
      <c r="H45" s="21" t="s">
        <v>959</v>
      </c>
      <c r="I45" s="21" t="s">
        <v>960</v>
      </c>
    </row>
    <row r="46" customFormat="false" ht="15" hidden="false" customHeight="true" outlineLevel="0" collapsed="false">
      <c r="A46" s="21" t="s">
        <v>961</v>
      </c>
      <c r="B46" s="21" t="s">
        <v>962</v>
      </c>
      <c r="C46" s="21" t="s">
        <v>963</v>
      </c>
      <c r="D46" s="21" t="s">
        <v>964</v>
      </c>
      <c r="E46" s="21" t="s">
        <v>632</v>
      </c>
      <c r="F46" s="21" t="s">
        <v>883</v>
      </c>
      <c r="G46" s="21" t="s">
        <v>965</v>
      </c>
      <c r="H46" s="21" t="s">
        <v>966</v>
      </c>
      <c r="I46" s="21" t="s">
        <v>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12"/>
    <col collapsed="false" customWidth="true" hidden="false" outlineLevel="0" max="4" min="4" style="1" width="34"/>
    <col collapsed="false" customWidth="true" hidden="false" outlineLevel="0" max="5" min="5" style="1" width="24"/>
    <col collapsed="false" customWidth="true" hidden="false" outlineLevel="0" max="6" min="6" style="1" width="20"/>
    <col collapsed="false" customWidth="true" hidden="false" outlineLevel="0" max="7" min="7" style="1" width="11"/>
    <col collapsed="false" customWidth="true" hidden="false" outlineLevel="0" max="9" min="8" style="1" width="12"/>
    <col collapsed="false" customWidth="true" hidden="false" outlineLevel="0" max="10" min="10" style="1" width="14"/>
  </cols>
  <sheetData>
    <row r="1" customFormat="false" ht="15" hidden="false" customHeight="true" outlineLevel="0" collapsed="false">
      <c r="A1" s="5" t="s">
        <v>27</v>
      </c>
      <c r="B1" s="5" t="s">
        <v>968</v>
      </c>
      <c r="C1" s="5" t="s">
        <v>969</v>
      </c>
      <c r="D1" s="5" t="s">
        <v>970</v>
      </c>
      <c r="E1" s="5" t="s">
        <v>971</v>
      </c>
      <c r="F1" s="5" t="s">
        <v>171</v>
      </c>
      <c r="G1" s="5" t="s">
        <v>972</v>
      </c>
      <c r="H1" s="5" t="s">
        <v>973</v>
      </c>
      <c r="I1" s="5" t="s">
        <v>974</v>
      </c>
      <c r="J1" s="5" t="s">
        <v>975</v>
      </c>
    </row>
    <row r="2" customFormat="false" ht="23.25" hidden="false" customHeight="true" outlineLevel="0" collapsed="false">
      <c r="A2" s="21" t="s">
        <v>976</v>
      </c>
      <c r="B2" s="21" t="s">
        <v>977</v>
      </c>
      <c r="C2" s="21" t="s">
        <v>978</v>
      </c>
      <c r="D2" s="21" t="s">
        <v>979</v>
      </c>
      <c r="E2" s="21" t="s">
        <v>980</v>
      </c>
      <c r="F2" s="21" t="s">
        <v>192</v>
      </c>
      <c r="G2" s="21" t="s">
        <v>981</v>
      </c>
      <c r="H2" s="21" t="s">
        <v>982</v>
      </c>
      <c r="I2" s="21" t="s">
        <v>983</v>
      </c>
      <c r="J2" s="21" t="s">
        <v>984</v>
      </c>
    </row>
    <row r="3" customFormat="false" ht="15" hidden="false" customHeight="true" outlineLevel="0" collapsed="false">
      <c r="A3" s="21" t="s">
        <v>985</v>
      </c>
      <c r="B3" s="21" t="s">
        <v>986</v>
      </c>
      <c r="C3" s="21" t="s">
        <v>987</v>
      </c>
      <c r="D3" s="21" t="s">
        <v>988</v>
      </c>
      <c r="E3" s="21" t="s">
        <v>989</v>
      </c>
      <c r="F3" s="21" t="s">
        <v>192</v>
      </c>
      <c r="G3" s="21" t="s">
        <v>990</v>
      </c>
      <c r="H3" s="21" t="s">
        <v>991</v>
      </c>
      <c r="I3" s="21" t="s">
        <v>992</v>
      </c>
      <c r="J3" s="21" t="s">
        <v>993</v>
      </c>
    </row>
    <row r="4" customFormat="false" ht="23.25" hidden="false" customHeight="true" outlineLevel="0" collapsed="false">
      <c r="A4" s="21" t="s">
        <v>994</v>
      </c>
      <c r="B4" s="21" t="s">
        <v>995</v>
      </c>
      <c r="C4" s="21" t="s">
        <v>996</v>
      </c>
      <c r="D4" s="21" t="s">
        <v>997</v>
      </c>
      <c r="E4" s="21" t="s">
        <v>998</v>
      </c>
      <c r="F4" s="21" t="s">
        <v>260</v>
      </c>
      <c r="G4" s="21" t="s">
        <v>981</v>
      </c>
      <c r="H4" s="21" t="s">
        <v>999</v>
      </c>
      <c r="I4" s="21" t="s">
        <v>1000</v>
      </c>
      <c r="J4" s="21" t="s">
        <v>1001</v>
      </c>
    </row>
    <row r="5" customFormat="false" ht="23.25" hidden="false" customHeight="true" outlineLevel="0" collapsed="false">
      <c r="A5" s="21" t="s">
        <v>1002</v>
      </c>
      <c r="B5" s="21" t="s">
        <v>1003</v>
      </c>
      <c r="C5" s="21" t="s">
        <v>1004</v>
      </c>
      <c r="D5" s="21" t="s">
        <v>1005</v>
      </c>
      <c r="E5" s="21" t="s">
        <v>1006</v>
      </c>
      <c r="F5" s="21" t="s">
        <v>260</v>
      </c>
      <c r="G5" s="21" t="s">
        <v>981</v>
      </c>
      <c r="H5" s="21" t="s">
        <v>1007</v>
      </c>
      <c r="I5" s="21" t="s">
        <v>1008</v>
      </c>
      <c r="J5" s="21" t="s">
        <v>1009</v>
      </c>
    </row>
    <row r="6" customFormat="false" ht="23.25" hidden="false" customHeight="true" outlineLevel="0" collapsed="false">
      <c r="A6" s="21" t="s">
        <v>1010</v>
      </c>
      <c r="B6" s="21" t="s">
        <v>1011</v>
      </c>
      <c r="C6" s="21" t="s">
        <v>1012</v>
      </c>
      <c r="D6" s="21" t="s">
        <v>1013</v>
      </c>
      <c r="E6" s="21" t="s">
        <v>1014</v>
      </c>
      <c r="F6" s="21" t="s">
        <v>204</v>
      </c>
      <c r="G6" s="21" t="s">
        <v>990</v>
      </c>
      <c r="H6" s="21" t="s">
        <v>982</v>
      </c>
      <c r="I6" s="21" t="s">
        <v>983</v>
      </c>
      <c r="J6" s="21" t="s">
        <v>1015</v>
      </c>
    </row>
    <row r="7" customFormat="false" ht="15" hidden="false" customHeight="true" outlineLevel="0" collapsed="false">
      <c r="A7" s="21" t="s">
        <v>1016</v>
      </c>
      <c r="B7" s="21" t="s">
        <v>1017</v>
      </c>
      <c r="C7" s="21" t="s">
        <v>1018</v>
      </c>
      <c r="D7" s="21" t="s">
        <v>1019</v>
      </c>
      <c r="E7" s="21" t="s">
        <v>1020</v>
      </c>
      <c r="F7" s="21" t="s">
        <v>192</v>
      </c>
      <c r="G7" s="21" t="s">
        <v>981</v>
      </c>
      <c r="H7" s="21" t="s">
        <v>1021</v>
      </c>
      <c r="I7" s="21" t="s">
        <v>983</v>
      </c>
      <c r="J7" s="21" t="s">
        <v>1000</v>
      </c>
    </row>
    <row r="8" customFormat="false" ht="23.25" hidden="false" customHeight="true" outlineLevel="0" collapsed="false">
      <c r="A8" s="21" t="s">
        <v>1022</v>
      </c>
      <c r="B8" s="21" t="s">
        <v>1023</v>
      </c>
      <c r="C8" s="21" t="s">
        <v>1024</v>
      </c>
      <c r="D8" s="21" t="s">
        <v>1025</v>
      </c>
      <c r="E8" s="21" t="s">
        <v>1026</v>
      </c>
      <c r="F8" s="21" t="s">
        <v>192</v>
      </c>
      <c r="G8" s="21" t="s">
        <v>981</v>
      </c>
      <c r="H8" s="21" t="s">
        <v>1027</v>
      </c>
      <c r="I8" s="21" t="s">
        <v>1028</v>
      </c>
      <c r="J8" s="21" t="s">
        <v>1029</v>
      </c>
    </row>
    <row r="9" customFormat="false" ht="23.25" hidden="false" customHeight="true" outlineLevel="0" collapsed="false">
      <c r="A9" s="21" t="s">
        <v>1030</v>
      </c>
      <c r="B9" s="21" t="s">
        <v>1031</v>
      </c>
      <c r="C9" s="21" t="s">
        <v>90</v>
      </c>
      <c r="D9" s="21" t="s">
        <v>1032</v>
      </c>
      <c r="E9" s="21" t="s">
        <v>1033</v>
      </c>
      <c r="F9" s="21" t="s">
        <v>260</v>
      </c>
      <c r="G9" s="21" t="s">
        <v>1034</v>
      </c>
      <c r="H9" s="21" t="s">
        <v>1007</v>
      </c>
      <c r="I9" s="21" t="s">
        <v>1008</v>
      </c>
      <c r="J9" s="21" t="s">
        <v>1035</v>
      </c>
    </row>
    <row r="10" customFormat="false" ht="23.25" hidden="false" customHeight="true" outlineLevel="0" collapsed="false">
      <c r="A10" s="21" t="s">
        <v>1036</v>
      </c>
      <c r="B10" s="21" t="s">
        <v>1037</v>
      </c>
      <c r="C10" s="21" t="s">
        <v>1038</v>
      </c>
      <c r="D10" s="21" t="s">
        <v>1039</v>
      </c>
      <c r="E10" s="21" t="s">
        <v>1040</v>
      </c>
      <c r="F10" s="21" t="s">
        <v>381</v>
      </c>
      <c r="G10" s="21" t="s">
        <v>990</v>
      </c>
      <c r="H10" s="21" t="s">
        <v>982</v>
      </c>
      <c r="I10" s="21" t="s">
        <v>983</v>
      </c>
      <c r="J10" s="21" t="s">
        <v>984</v>
      </c>
    </row>
    <row r="11" customFormat="false" ht="23.25" hidden="false" customHeight="true" outlineLevel="0" collapsed="false">
      <c r="A11" s="21" t="s">
        <v>1041</v>
      </c>
      <c r="B11" s="21" t="s">
        <v>1042</v>
      </c>
      <c r="C11" s="21" t="s">
        <v>99</v>
      </c>
      <c r="D11" s="21" t="s">
        <v>1043</v>
      </c>
      <c r="E11" s="21" t="s">
        <v>1044</v>
      </c>
      <c r="F11" s="21" t="s">
        <v>1045</v>
      </c>
      <c r="G11" s="21" t="s">
        <v>990</v>
      </c>
      <c r="H11" s="21" t="s">
        <v>982</v>
      </c>
      <c r="I11" s="21" t="s">
        <v>1000</v>
      </c>
      <c r="J11" s="21" t="s">
        <v>1046</v>
      </c>
    </row>
    <row r="12" customFormat="false" ht="23.25" hidden="false" customHeight="true" outlineLevel="0" collapsed="false">
      <c r="A12" s="21" t="s">
        <v>1047</v>
      </c>
      <c r="B12" s="21" t="s">
        <v>1048</v>
      </c>
      <c r="C12" s="21" t="s">
        <v>105</v>
      </c>
      <c r="D12" s="21" t="s">
        <v>1049</v>
      </c>
      <c r="E12" s="21" t="s">
        <v>1050</v>
      </c>
      <c r="F12" s="21" t="s">
        <v>1051</v>
      </c>
      <c r="G12" s="21" t="s">
        <v>990</v>
      </c>
      <c r="H12" s="21" t="s">
        <v>982</v>
      </c>
      <c r="I12" s="21" t="s">
        <v>1000</v>
      </c>
      <c r="J12" s="21" t="s">
        <v>1046</v>
      </c>
    </row>
    <row r="13" customFormat="false" ht="23.25" hidden="false" customHeight="true" outlineLevel="0" collapsed="false">
      <c r="A13" s="21" t="s">
        <v>1052</v>
      </c>
      <c r="B13" s="21" t="s">
        <v>1053</v>
      </c>
      <c r="C13" s="21" t="s">
        <v>1018</v>
      </c>
      <c r="D13" s="21" t="s">
        <v>1054</v>
      </c>
      <c r="E13" s="21" t="s">
        <v>1055</v>
      </c>
      <c r="F13" s="21" t="s">
        <v>1056</v>
      </c>
      <c r="G13" s="21" t="s">
        <v>1057</v>
      </c>
      <c r="H13" s="21" t="s">
        <v>1058</v>
      </c>
      <c r="I13" s="21" t="s">
        <v>1059</v>
      </c>
      <c r="J13" s="21" t="s">
        <v>1060</v>
      </c>
    </row>
    <row r="14" customFormat="false" ht="23.25" hidden="false" customHeight="true" outlineLevel="0" collapsed="false">
      <c r="A14" s="21" t="s">
        <v>1061</v>
      </c>
      <c r="B14" s="21" t="s">
        <v>1062</v>
      </c>
      <c r="C14" s="21" t="s">
        <v>111</v>
      </c>
      <c r="D14" s="21" t="s">
        <v>1063</v>
      </c>
      <c r="E14" s="21" t="s">
        <v>1064</v>
      </c>
      <c r="F14" s="21" t="s">
        <v>1065</v>
      </c>
      <c r="G14" s="21" t="s">
        <v>981</v>
      </c>
      <c r="H14" s="21" t="s">
        <v>1066</v>
      </c>
      <c r="I14" s="21" t="s">
        <v>1008</v>
      </c>
      <c r="J14" s="21" t="s">
        <v>1067</v>
      </c>
    </row>
    <row r="15" customFormat="false" ht="23.25" hidden="false" customHeight="true" outlineLevel="0" collapsed="false">
      <c r="A15" s="21" t="s">
        <v>1068</v>
      </c>
      <c r="B15" s="21" t="s">
        <v>1069</v>
      </c>
      <c r="C15" s="21" t="s">
        <v>1070</v>
      </c>
      <c r="D15" s="21" t="s">
        <v>1071</v>
      </c>
      <c r="E15" s="21" t="s">
        <v>1072</v>
      </c>
      <c r="F15" s="21" t="s">
        <v>1073</v>
      </c>
      <c r="G15" s="21" t="s">
        <v>981</v>
      </c>
      <c r="H15" s="21" t="s">
        <v>1074</v>
      </c>
      <c r="I15" s="21" t="s">
        <v>1075</v>
      </c>
      <c r="J15" s="21" t="s">
        <v>1076</v>
      </c>
    </row>
    <row r="16" customFormat="false" ht="23.25" hidden="false" customHeight="true" outlineLevel="0" collapsed="false">
      <c r="A16" s="21" t="s">
        <v>1077</v>
      </c>
      <c r="B16" s="21" t="s">
        <v>1078</v>
      </c>
      <c r="C16" s="21" t="s">
        <v>1079</v>
      </c>
      <c r="D16" s="21" t="s">
        <v>1080</v>
      </c>
      <c r="E16" s="21" t="s">
        <v>1081</v>
      </c>
      <c r="F16" s="21" t="s">
        <v>269</v>
      </c>
      <c r="G16" s="21" t="s">
        <v>981</v>
      </c>
      <c r="H16" s="21" t="s">
        <v>982</v>
      </c>
      <c r="I16" s="21" t="s">
        <v>983</v>
      </c>
      <c r="J16" s="21" t="s">
        <v>984</v>
      </c>
    </row>
    <row r="17" customFormat="false" ht="23.25" hidden="false" customHeight="true" outlineLevel="0" collapsed="false">
      <c r="A17" s="21" t="s">
        <v>1082</v>
      </c>
      <c r="B17" s="21" t="s">
        <v>1083</v>
      </c>
      <c r="C17" s="21" t="s">
        <v>126</v>
      </c>
      <c r="D17" s="21" t="s">
        <v>1084</v>
      </c>
      <c r="E17" s="21" t="s">
        <v>1085</v>
      </c>
      <c r="F17" s="21" t="s">
        <v>1086</v>
      </c>
      <c r="G17" s="21" t="s">
        <v>1087</v>
      </c>
      <c r="H17" s="21" t="s">
        <v>1058</v>
      </c>
      <c r="I17" s="21" t="s">
        <v>1088</v>
      </c>
      <c r="J17" s="21" t="s">
        <v>1089</v>
      </c>
    </row>
    <row r="18" customFormat="false" ht="23.25" hidden="false" customHeight="true" outlineLevel="0" collapsed="false">
      <c r="A18" s="21" t="s">
        <v>1090</v>
      </c>
      <c r="B18" s="21" t="s">
        <v>1091</v>
      </c>
      <c r="C18" s="21" t="s">
        <v>154</v>
      </c>
      <c r="D18" s="21" t="s">
        <v>1092</v>
      </c>
      <c r="E18" s="21" t="s">
        <v>1093</v>
      </c>
      <c r="F18" s="21" t="s">
        <v>381</v>
      </c>
      <c r="G18" s="21" t="s">
        <v>981</v>
      </c>
      <c r="H18" s="21" t="s">
        <v>1094</v>
      </c>
      <c r="I18" s="21" t="s">
        <v>1095</v>
      </c>
      <c r="J18" s="21" t="s">
        <v>1096</v>
      </c>
    </row>
    <row r="19" customFormat="false" ht="15" hidden="false" customHeight="true" outlineLevel="0" collapsed="false">
      <c r="A19" s="21" t="s">
        <v>1097</v>
      </c>
      <c r="B19" s="21" t="s">
        <v>1098</v>
      </c>
      <c r="C19" s="21" t="s">
        <v>157</v>
      </c>
      <c r="D19" s="21" t="s">
        <v>1099</v>
      </c>
      <c r="E19" s="21" t="s">
        <v>1100</v>
      </c>
      <c r="F19" s="21" t="s">
        <v>269</v>
      </c>
      <c r="G19" s="21" t="s">
        <v>981</v>
      </c>
      <c r="H19" s="21" t="s">
        <v>982</v>
      </c>
      <c r="I19" s="21" t="s">
        <v>1101</v>
      </c>
      <c r="J19" s="21" t="s">
        <v>1000</v>
      </c>
    </row>
    <row r="20" customFormat="false" ht="23.25" hidden="false" customHeight="true" outlineLevel="0" collapsed="false">
      <c r="A20" s="21" t="s">
        <v>1102</v>
      </c>
      <c r="B20" s="21" t="s">
        <v>1103</v>
      </c>
      <c r="C20" s="21" t="s">
        <v>132</v>
      </c>
      <c r="D20" s="21" t="s">
        <v>1104</v>
      </c>
      <c r="E20" s="21" t="s">
        <v>1105</v>
      </c>
      <c r="F20" s="21" t="s">
        <v>1106</v>
      </c>
      <c r="G20" s="21" t="s">
        <v>981</v>
      </c>
      <c r="H20" s="21" t="s">
        <v>1007</v>
      </c>
      <c r="I20" s="21" t="s">
        <v>1008</v>
      </c>
      <c r="J20" s="21" t="s">
        <v>1107</v>
      </c>
    </row>
    <row r="21" customFormat="false" ht="23.25" hidden="false" customHeight="true" outlineLevel="0" collapsed="false">
      <c r="A21" s="21" t="s">
        <v>1108</v>
      </c>
      <c r="B21" s="21" t="s">
        <v>1109</v>
      </c>
      <c r="C21" s="21" t="s">
        <v>1110</v>
      </c>
      <c r="D21" s="21" t="s">
        <v>1111</v>
      </c>
      <c r="E21" s="21" t="s">
        <v>1112</v>
      </c>
      <c r="F21" s="21" t="s">
        <v>1086</v>
      </c>
      <c r="G21" s="21" t="s">
        <v>1034</v>
      </c>
      <c r="H21" s="21" t="s">
        <v>1007</v>
      </c>
      <c r="I21" s="21" t="s">
        <v>1008</v>
      </c>
      <c r="J21" s="21" t="s">
        <v>1113</v>
      </c>
    </row>
    <row r="22" customFormat="false" ht="23.85" hidden="false" customHeight="false" outlineLevel="0" collapsed="false">
      <c r="A22" s="21" t="s">
        <v>1114</v>
      </c>
      <c r="B22" s="21" t="s">
        <v>1115</v>
      </c>
      <c r="C22" s="21" t="s">
        <v>671</v>
      </c>
      <c r="D22" s="21" t="s">
        <v>1116</v>
      </c>
      <c r="E22" s="21" t="s">
        <v>1117</v>
      </c>
      <c r="F22" s="21" t="s">
        <v>1118</v>
      </c>
      <c r="G22" s="21" t="s">
        <v>1087</v>
      </c>
      <c r="H22" s="21" t="s">
        <v>1119</v>
      </c>
      <c r="I22" s="21" t="s">
        <v>1120</v>
      </c>
      <c r="J22" s="21" t="s">
        <v>1121</v>
      </c>
    </row>
    <row r="23" customFormat="false" ht="23.85" hidden="false" customHeight="false" outlineLevel="0" collapsed="false">
      <c r="A23" s="21" t="s">
        <v>1122</v>
      </c>
      <c r="B23" s="21" t="s">
        <v>1123</v>
      </c>
      <c r="C23" s="21" t="s">
        <v>671</v>
      </c>
      <c r="D23" s="21" t="s">
        <v>1124</v>
      </c>
      <c r="E23" s="21" t="s">
        <v>1125</v>
      </c>
      <c r="F23" s="21" t="s">
        <v>192</v>
      </c>
      <c r="G23" s="21" t="s">
        <v>990</v>
      </c>
      <c r="H23" s="21" t="s">
        <v>1126</v>
      </c>
      <c r="I23" s="21" t="s">
        <v>1046</v>
      </c>
      <c r="J23" s="21" t="s">
        <v>1127</v>
      </c>
    </row>
    <row r="24" customFormat="false" ht="35.05" hidden="false" customHeight="false" outlineLevel="0" collapsed="false">
      <c r="A24" s="21" t="s">
        <v>1128</v>
      </c>
      <c r="B24" s="21" t="s">
        <v>1129</v>
      </c>
      <c r="C24" s="21" t="s">
        <v>671</v>
      </c>
      <c r="D24" s="21" t="s">
        <v>1130</v>
      </c>
      <c r="E24" s="21" t="s">
        <v>1131</v>
      </c>
      <c r="F24" s="21" t="s">
        <v>1132</v>
      </c>
      <c r="G24" s="21" t="s">
        <v>990</v>
      </c>
      <c r="H24" s="21" t="s">
        <v>1133</v>
      </c>
      <c r="I24" s="21" t="s">
        <v>1134</v>
      </c>
      <c r="J24" s="21" t="s">
        <v>1135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30"/>
    <col collapsed="false" customWidth="true" hidden="false" outlineLevel="0" max="4" min="4" style="1" width="100"/>
  </cols>
  <sheetData>
    <row r="1" customFormat="false" ht="15" hidden="false" customHeight="true" outlineLevel="0" collapsed="false">
      <c r="A1" s="5" t="s">
        <v>27</v>
      </c>
      <c r="B1" s="5" t="s">
        <v>1136</v>
      </c>
      <c r="C1" s="5" t="s">
        <v>1137</v>
      </c>
      <c r="D1" s="5" t="s">
        <v>1138</v>
      </c>
    </row>
    <row r="2" customFormat="false" ht="23.25" hidden="false" customHeight="true" outlineLevel="0" collapsed="false">
      <c r="A2" s="21" t="s">
        <v>1139</v>
      </c>
      <c r="B2" s="21" t="s">
        <v>1140</v>
      </c>
      <c r="C2" s="21" t="s">
        <v>1141</v>
      </c>
      <c r="D2" s="21" t="s">
        <v>1142</v>
      </c>
    </row>
    <row r="3" customFormat="false" ht="34.5" hidden="false" customHeight="true" outlineLevel="0" collapsed="false">
      <c r="A3" s="21" t="s">
        <v>1143</v>
      </c>
      <c r="B3" s="21" t="s">
        <v>1144</v>
      </c>
      <c r="C3" s="21" t="s">
        <v>1141</v>
      </c>
      <c r="D3" s="21" t="s">
        <v>1145</v>
      </c>
    </row>
    <row r="4" customFormat="false" ht="23.25" hidden="false" customHeight="true" outlineLevel="0" collapsed="false">
      <c r="A4" s="21" t="s">
        <v>1146</v>
      </c>
      <c r="B4" s="21" t="s">
        <v>1147</v>
      </c>
      <c r="C4" s="21" t="s">
        <v>1141</v>
      </c>
      <c r="D4" s="21" t="s">
        <v>1148</v>
      </c>
    </row>
    <row r="5" customFormat="false" ht="23.25" hidden="false" customHeight="true" outlineLevel="0" collapsed="false">
      <c r="A5" s="21" t="s">
        <v>1149</v>
      </c>
      <c r="B5" s="21" t="s">
        <v>1150</v>
      </c>
      <c r="C5" s="21" t="s">
        <v>1141</v>
      </c>
      <c r="D5" s="21" t="s">
        <v>1151</v>
      </c>
    </row>
    <row r="6" customFormat="false" ht="23.25" hidden="false" customHeight="true" outlineLevel="0" collapsed="false">
      <c r="A6" s="21" t="s">
        <v>1152</v>
      </c>
      <c r="B6" s="21" t="s">
        <v>1153</v>
      </c>
      <c r="C6" s="21" t="s">
        <v>1141</v>
      </c>
      <c r="D6" s="21" t="s">
        <v>1154</v>
      </c>
    </row>
    <row r="7" customFormat="false" ht="34.5" hidden="false" customHeight="true" outlineLevel="0" collapsed="false">
      <c r="A7" s="21" t="s">
        <v>1155</v>
      </c>
      <c r="B7" s="21" t="s">
        <v>1156</v>
      </c>
      <c r="C7" s="21" t="s">
        <v>1157</v>
      </c>
      <c r="D7" s="21" t="s">
        <v>1158</v>
      </c>
    </row>
    <row r="8" customFormat="false" ht="23.25" hidden="false" customHeight="true" outlineLevel="0" collapsed="false">
      <c r="A8" s="21" t="s">
        <v>1159</v>
      </c>
      <c r="B8" s="21" t="s">
        <v>1160</v>
      </c>
      <c r="C8" s="21" t="s">
        <v>1141</v>
      </c>
      <c r="D8" s="21" t="s">
        <v>1161</v>
      </c>
    </row>
    <row r="9" customFormat="false" ht="15" hidden="false" customHeight="true" outlineLevel="0" collapsed="false">
      <c r="A9" s="21" t="s">
        <v>1162</v>
      </c>
      <c r="B9" s="21" t="s">
        <v>1163</v>
      </c>
      <c r="C9" s="21" t="s">
        <v>1141</v>
      </c>
      <c r="D9" s="21" t="s">
        <v>1164</v>
      </c>
    </row>
    <row r="10" customFormat="false" ht="23.25" hidden="false" customHeight="true" outlineLevel="0" collapsed="false">
      <c r="A10" s="21" t="s">
        <v>1165</v>
      </c>
      <c r="B10" s="21" t="s">
        <v>1166</v>
      </c>
      <c r="C10" s="21" t="s">
        <v>1167</v>
      </c>
      <c r="D10" s="21" t="s">
        <v>1168</v>
      </c>
    </row>
    <row r="11" customFormat="false" ht="15" hidden="false" customHeight="true" outlineLevel="0" collapsed="false">
      <c r="A11" s="21" t="s">
        <v>1169</v>
      </c>
      <c r="B11" s="21" t="s">
        <v>1170</v>
      </c>
      <c r="C11" s="21" t="s">
        <v>1171</v>
      </c>
      <c r="D11" s="21" t="s">
        <v>1172</v>
      </c>
    </row>
    <row r="12" customFormat="false" ht="15" hidden="false" customHeight="true" outlineLevel="0" collapsed="false">
      <c r="A12" s="21" t="s">
        <v>1173</v>
      </c>
      <c r="B12" s="21" t="s">
        <v>1174</v>
      </c>
      <c r="C12" s="21" t="s">
        <v>1171</v>
      </c>
      <c r="D12" s="21" t="s">
        <v>1175</v>
      </c>
    </row>
    <row r="13" customFormat="false" ht="15" hidden="false" customHeight="true" outlineLevel="0" collapsed="false">
      <c r="A13" s="21" t="s">
        <v>1176</v>
      </c>
      <c r="B13" s="21" t="s">
        <v>1177</v>
      </c>
      <c r="C13" s="21" t="s">
        <v>1178</v>
      </c>
      <c r="D13" s="21" t="s">
        <v>1179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00"/>
  </cols>
  <sheetData>
    <row r="1" customFormat="false" ht="17.35" hidden="false" customHeight="false" outlineLevel="0" collapsed="false">
      <c r="A1" s="31" t="s">
        <v>1180</v>
      </c>
    </row>
    <row r="3" customFormat="false" ht="15" hidden="false" customHeight="false" outlineLevel="0" collapsed="false">
      <c r="A3" s="5" t="s">
        <v>53</v>
      </c>
      <c r="B3" s="5" t="s">
        <v>54</v>
      </c>
      <c r="C3" s="5" t="s">
        <v>55</v>
      </c>
    </row>
    <row r="4" customFormat="false" ht="15" hidden="false" customHeight="false" outlineLevel="0" collapsed="false">
      <c r="A4" s="32" t="s">
        <v>1181</v>
      </c>
      <c r="B4" s="33" t="n">
        <v>100000000</v>
      </c>
      <c r="C4" s="21" t="s">
        <v>1182</v>
      </c>
    </row>
    <row r="5" customFormat="false" ht="15" hidden="false" customHeight="false" outlineLevel="0" collapsed="false">
      <c r="A5" s="32" t="s">
        <v>1183</v>
      </c>
      <c r="B5" s="34" t="n">
        <v>0.04</v>
      </c>
      <c r="C5" s="21" t="s">
        <v>1184</v>
      </c>
    </row>
    <row r="6" customFormat="false" ht="15" hidden="false" customHeight="false" outlineLevel="0" collapsed="false">
      <c r="A6" s="32" t="s">
        <v>1185</v>
      </c>
      <c r="B6" s="34" t="n">
        <v>0.078</v>
      </c>
      <c r="C6" s="21" t="s">
        <v>1184</v>
      </c>
    </row>
    <row r="7" customFormat="false" ht="15" hidden="false" customHeight="false" outlineLevel="0" collapsed="false">
      <c r="A7" s="32" t="s">
        <v>1186</v>
      </c>
      <c r="B7" s="34" t="n">
        <v>0.12</v>
      </c>
      <c r="C7" s="21" t="s">
        <v>1184</v>
      </c>
    </row>
    <row r="8" customFormat="false" ht="15" hidden="false" customHeight="false" outlineLevel="0" collapsed="false">
      <c r="A8" s="32" t="s">
        <v>1187</v>
      </c>
      <c r="B8" s="35" t="n">
        <f aca="false">Parameters!B4</f>
        <v>0.3</v>
      </c>
      <c r="C8" s="21" t="s">
        <v>1188</v>
      </c>
    </row>
    <row r="9" customFormat="false" ht="15" hidden="false" customHeight="false" outlineLevel="0" collapsed="false">
      <c r="A9" s="32" t="s">
        <v>1189</v>
      </c>
      <c r="B9" s="36" t="n">
        <v>0.3</v>
      </c>
      <c r="C9" s="21" t="s">
        <v>1190</v>
      </c>
    </row>
    <row r="10" customFormat="false" ht="15" hidden="false" customHeight="false" outlineLevel="0" collapsed="false">
      <c r="A10" s="32" t="s">
        <v>1191</v>
      </c>
      <c r="B10" s="36" t="n">
        <v>0.5</v>
      </c>
      <c r="C10" s="21" t="s">
        <v>1192</v>
      </c>
    </row>
    <row r="11" customFormat="false" ht="15" hidden="false" customHeight="false" outlineLevel="0" collapsed="false">
      <c r="A11" s="32" t="s">
        <v>1193</v>
      </c>
      <c r="B11" s="36" t="n">
        <v>0.7</v>
      </c>
      <c r="C11" s="21" t="s">
        <v>1194</v>
      </c>
    </row>
    <row r="12" customFormat="false" ht="15" hidden="false" customHeight="false" outlineLevel="0" collapsed="false">
      <c r="A12" s="32" t="s">
        <v>1195</v>
      </c>
      <c r="B12" s="37" t="n">
        <v>0.1</v>
      </c>
      <c r="C12" s="21" t="s">
        <v>1196</v>
      </c>
    </row>
    <row r="13" customFormat="false" ht="15" hidden="false" customHeight="false" outlineLevel="0" collapsed="false">
      <c r="A13" s="32" t="s">
        <v>1197</v>
      </c>
      <c r="B13" s="34" t="n">
        <v>0.07</v>
      </c>
      <c r="C13" s="21" t="s">
        <v>1198</v>
      </c>
    </row>
    <row r="14" customFormat="false" ht="15" hidden="false" customHeight="false" outlineLevel="0" collapsed="false">
      <c r="A14" s="32" t="s">
        <v>1199</v>
      </c>
      <c r="B14" s="34" t="n">
        <v>0.095</v>
      </c>
      <c r="C14" s="21"/>
    </row>
    <row r="15" customFormat="false" ht="15" hidden="false" customHeight="false" outlineLevel="0" collapsed="false">
      <c r="A15" s="32" t="s">
        <v>1200</v>
      </c>
      <c r="B15" s="34" t="n">
        <v>0.12</v>
      </c>
      <c r="C15" s="21" t="s">
        <v>1201</v>
      </c>
    </row>
    <row r="16" customFormat="false" ht="15" hidden="false" customHeight="false" outlineLevel="0" collapsed="false">
      <c r="A16" s="32" t="s">
        <v>1202</v>
      </c>
      <c r="B16" s="38" t="n">
        <v>156000</v>
      </c>
      <c r="C16" s="21" t="s">
        <v>1203</v>
      </c>
    </row>
    <row r="18" customFormat="false" ht="15" hidden="false" customHeight="false" outlineLevel="0" collapsed="false">
      <c r="A18" s="39" t="s">
        <v>1204</v>
      </c>
      <c r="B18" s="40" t="n">
        <f aca="false">IF(Budget_Params!$B$8&lt;=Budget_Params!$B$9,Budget_Params!$B$7,IF(Budget_Params!$B$8&lt;=Budget_Params!$B$10,Budget_Params!$B$7+(Budget_Params!$B$8-Budget_Params!$B$9)/(Budget_Params!$B$10-Budget_Params!$B$9)*(Budget_Params!$B$6-Budget_Params!$B$7),IF(Budget_Params!$B$8&lt;=Budget_Params!$B$11,Budget_Params!$B$6+(Budget_Params!$B$8-Budget_Params!$B$10)/(Budget_Params!$B$11-Budget_Params!$B$10)*(Budget_Params!$B$5-Budget_Params!$B$6),Budget_Params!$B$5)))</f>
        <v>0.12</v>
      </c>
      <c r="C18" s="32" t="s">
        <v>1205</v>
      </c>
    </row>
    <row r="19" customFormat="false" ht="15" hidden="false" customHeight="false" outlineLevel="0" collapsed="false">
      <c r="A19" s="39" t="s">
        <v>1206</v>
      </c>
      <c r="B19" s="41" t="n">
        <f aca="false">B18*Budget_Params!$B$4</f>
        <v>12000000</v>
      </c>
    </row>
    <row r="21" customFormat="false" ht="15" hidden="false" customHeight="false" outlineLevel="0" collapsed="false">
      <c r="A21" s="39" t="s">
        <v>1207</v>
      </c>
    </row>
    <row r="22" customFormat="false" ht="15" hidden="false" customHeight="false" outlineLevel="0" collapsed="false">
      <c r="A22" s="5" t="s">
        <v>36</v>
      </c>
      <c r="B22" s="5" t="s">
        <v>1208</v>
      </c>
      <c r="C22" s="5" t="s">
        <v>1209</v>
      </c>
    </row>
    <row r="23" customFormat="false" ht="15" hidden="false" customHeight="false" outlineLevel="0" collapsed="false">
      <c r="A23" s="36" t="n">
        <v>0.2</v>
      </c>
      <c r="B23" s="42" t="n">
        <f aca="false">IF(A23&lt;=Budget_Params!$B$9,Budget_Params!$B$7,IF(A23&lt;=Budget_Params!$B$10,Budget_Params!$B$7+(A23-Budget_Params!$B$9)/(Budget_Params!$B$10-Budget_Params!$B$9)*(Budget_Params!$B$6-Budget_Params!$B$7),IF(A23&lt;=Budget_Params!$B$11,Budget_Params!$B$6+(A23-Budget_Params!$B$10)/(Budget_Params!$B$11-Budget_Params!$B$10)*(Budget_Params!$B$5-Budget_Params!$B$6),Budget_Params!$B$5)))</f>
        <v>0.12</v>
      </c>
      <c r="C23" s="43" t="n">
        <f aca="false">B23*Budget_Params!$B$4</f>
        <v>12000000</v>
      </c>
    </row>
    <row r="24" customFormat="false" ht="15" hidden="false" customHeight="false" outlineLevel="0" collapsed="false">
      <c r="A24" s="36" t="n">
        <v>0.3</v>
      </c>
      <c r="B24" s="42" t="n">
        <f aca="false">IF(A24&lt;=Budget_Params!$B$9,Budget_Params!$B$7,IF(A24&lt;=Budget_Params!$B$10,Budget_Params!$B$7+(A24-Budget_Params!$B$9)/(Budget_Params!$B$10-Budget_Params!$B$9)*(Budget_Params!$B$6-Budget_Params!$B$7),IF(A24&lt;=Budget_Params!$B$11,Budget_Params!$B$6+(A24-Budget_Params!$B$10)/(Budget_Params!$B$11-Budget_Params!$B$10)*(Budget_Params!$B$5-Budget_Params!$B$6),Budget_Params!$B$5)))</f>
        <v>0.12</v>
      </c>
      <c r="C24" s="43" t="n">
        <f aca="false">B24*Budget_Params!$B$4</f>
        <v>12000000</v>
      </c>
    </row>
    <row r="25" customFormat="false" ht="15" hidden="false" customHeight="false" outlineLevel="0" collapsed="false">
      <c r="A25" s="36" t="n">
        <v>0.4</v>
      </c>
      <c r="B25" s="42" t="n">
        <f aca="false">IF(A25&lt;=Budget_Params!$B$9,Budget_Params!$B$7,IF(A25&lt;=Budget_Params!$B$10,Budget_Params!$B$7+(A25-Budget_Params!$B$9)/(Budget_Params!$B$10-Budget_Params!$B$9)*(Budget_Params!$B$6-Budget_Params!$B$7),IF(A25&lt;=Budget_Params!$B$11,Budget_Params!$B$6+(A25-Budget_Params!$B$10)/(Budget_Params!$B$11-Budget_Params!$B$10)*(Budget_Params!$B$5-Budget_Params!$B$6),Budget_Params!$B$5)))</f>
        <v>0.099</v>
      </c>
      <c r="C25" s="43" t="n">
        <f aca="false">B25*Budget_Params!$B$4</f>
        <v>9900000</v>
      </c>
    </row>
    <row r="26" customFormat="false" ht="15" hidden="false" customHeight="false" outlineLevel="0" collapsed="false">
      <c r="A26" s="36" t="n">
        <v>0.5</v>
      </c>
      <c r="B26" s="42" t="n">
        <f aca="false">IF(A26&lt;=Budget_Params!$B$9,Budget_Params!$B$7,IF(A26&lt;=Budget_Params!$B$10,Budget_Params!$B$7+(A26-Budget_Params!$B$9)/(Budget_Params!$B$10-Budget_Params!$B$9)*(Budget_Params!$B$6-Budget_Params!$B$7),IF(A26&lt;=Budget_Params!$B$11,Budget_Params!$B$6+(A26-Budget_Params!$B$10)/(Budget_Params!$B$11-Budget_Params!$B$10)*(Budget_Params!$B$5-Budget_Params!$B$6),Budget_Params!$B$5)))</f>
        <v>0.078</v>
      </c>
      <c r="C26" s="43" t="n">
        <f aca="false">B26*Budget_Params!$B$4</f>
        <v>7800000</v>
      </c>
    </row>
    <row r="27" customFormat="false" ht="15" hidden="false" customHeight="false" outlineLevel="0" collapsed="false">
      <c r="A27" s="36" t="n">
        <v>0.6</v>
      </c>
      <c r="B27" s="42" t="n">
        <f aca="false">IF(A27&lt;=Budget_Params!$B$9,Budget_Params!$B$7,IF(A27&lt;=Budget_Params!$B$10,Budget_Params!$B$7+(A27-Budget_Params!$B$9)/(Budget_Params!$B$10-Budget_Params!$B$9)*(Budget_Params!$B$6-Budget_Params!$B$7),IF(A27&lt;=Budget_Params!$B$11,Budget_Params!$B$6+(A27-Budget_Params!$B$10)/(Budget_Params!$B$11-Budget_Params!$B$10)*(Budget_Params!$B$5-Budget_Params!$B$6),Budget_Params!$B$5)))</f>
        <v>0.059</v>
      </c>
      <c r="C27" s="43" t="n">
        <f aca="false">B27*Budget_Params!$B$4</f>
        <v>5900000</v>
      </c>
    </row>
    <row r="28" customFormat="false" ht="15" hidden="false" customHeight="false" outlineLevel="0" collapsed="false">
      <c r="A28" s="36" t="n">
        <v>0.7</v>
      </c>
      <c r="B28" s="42" t="n">
        <f aca="false">IF(A28&lt;=Budget_Params!$B$9,Budget_Params!$B$7,IF(A28&lt;=Budget_Params!$B$10,Budget_Params!$B$7+(A28-Budget_Params!$B$9)/(Budget_Params!$B$10-Budget_Params!$B$9)*(Budget_Params!$B$6-Budget_Params!$B$7),IF(A28&lt;=Budget_Params!$B$11,Budget_Params!$B$6+(A28-Budget_Params!$B$10)/(Budget_Params!$B$11-Budget_Params!$B$10)*(Budget_Params!$B$5-Budget_Params!$B$6),Budget_Params!$B$5)))</f>
        <v>0.04</v>
      </c>
      <c r="C28" s="43" t="n">
        <f aca="false">B28*Budget_Params!$B$4</f>
        <v>4000000</v>
      </c>
    </row>
    <row r="29" customFormat="false" ht="15" hidden="false" customHeight="false" outlineLevel="0" collapsed="false">
      <c r="A29" s="36" t="n">
        <v>0.8</v>
      </c>
      <c r="B29" s="42" t="n">
        <f aca="false">IF(A29&lt;=Budget_Params!$B$9,Budget_Params!$B$7,IF(A29&lt;=Budget_Params!$B$10,Budget_Params!$B$7+(A29-Budget_Params!$B$9)/(Budget_Params!$B$10-Budget_Params!$B$9)*(Budget_Params!$B$6-Budget_Params!$B$7),IF(A29&lt;=Budget_Params!$B$11,Budget_Params!$B$6+(A29-Budget_Params!$B$10)/(Budget_Params!$B$11-Budget_Params!$B$10)*(Budget_Params!$B$5-Budget_Params!$B$6),Budget_Params!$B$5)))</f>
        <v>0.04</v>
      </c>
      <c r="C29" s="43" t="n">
        <f aca="false">B29*Budget_Params!$B$4</f>
        <v>4000000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
    <col collapsed="false" customWidth="true" hidden="false" outlineLevel="0" max="3" min="3" style="0" width="46"/>
    <col collapsed="false" customWidth="true" hidden="false" outlineLevel="0" max="5" min="4" style="0" width="9"/>
    <col collapsed="false" customWidth="true" hidden="false" outlineLevel="0" max="14" min="6" style="0" width="12"/>
    <col collapsed="false" customWidth="true" hidden="false" outlineLevel="0" max="15" min="15" style="0" width="60"/>
  </cols>
  <sheetData>
    <row r="1" customFormat="false" ht="17.35" hidden="false" customHeight="false" outlineLevel="0" collapsed="false">
      <c r="A1" s="31" t="s">
        <v>1210</v>
      </c>
    </row>
    <row r="2" customFormat="false" ht="15" hidden="false" customHeight="false" outlineLevel="0" collapsed="false">
      <c r="A2" s="4" t="s">
        <v>1211</v>
      </c>
    </row>
    <row r="4" customFormat="false" ht="23.85" hidden="false" customHeight="false" outlineLevel="0" collapsed="false">
      <c r="A4" s="5" t="s">
        <v>1212</v>
      </c>
      <c r="B4" s="5" t="s">
        <v>27</v>
      </c>
      <c r="C4" s="5" t="s">
        <v>1213</v>
      </c>
      <c r="D4" s="5" t="s">
        <v>173</v>
      </c>
      <c r="E4" s="5" t="s">
        <v>1214</v>
      </c>
      <c r="F4" s="5" t="s">
        <v>1215</v>
      </c>
      <c r="G4" s="5" t="s">
        <v>1216</v>
      </c>
      <c r="H4" s="5" t="s">
        <v>1217</v>
      </c>
      <c r="I4" s="5" t="s">
        <v>1218</v>
      </c>
      <c r="J4" s="5" t="s">
        <v>1219</v>
      </c>
      <c r="K4" s="5" t="s">
        <v>1220</v>
      </c>
      <c r="L4" s="5" t="s">
        <v>1221</v>
      </c>
      <c r="M4" s="5" t="s">
        <v>1222</v>
      </c>
      <c r="N4" s="5" t="s">
        <v>1223</v>
      </c>
      <c r="O4" s="5" t="s">
        <v>1224</v>
      </c>
    </row>
    <row r="5" customFormat="false" ht="15" hidden="false" customHeight="false" outlineLevel="0" collapsed="false">
      <c r="A5" s="32" t="s">
        <v>1225</v>
      </c>
      <c r="B5" s="32" t="s">
        <v>1226</v>
      </c>
      <c r="C5" s="21" t="s">
        <v>1227</v>
      </c>
      <c r="D5" s="32" t="s">
        <v>1228</v>
      </c>
      <c r="E5" s="37" t="n">
        <v>1</v>
      </c>
      <c r="F5" s="38" t="n">
        <v>312000</v>
      </c>
      <c r="G5" s="38" t="n">
        <v>312000</v>
      </c>
      <c r="H5" s="38" t="n">
        <v>312000</v>
      </c>
      <c r="I5" s="43" t="n">
        <f aca="false">F5*$E5</f>
        <v>312000</v>
      </c>
      <c r="J5" s="43" t="n">
        <f aca="false">G5*$E5</f>
        <v>312000</v>
      </c>
      <c r="K5" s="43" t="n">
        <f aca="false">H5*$E5</f>
        <v>312000</v>
      </c>
      <c r="L5" s="43" t="n">
        <f aca="false">F5*(1-$E5)</f>
        <v>0</v>
      </c>
      <c r="M5" s="43" t="n">
        <f aca="false">G5*(1-$E5)</f>
        <v>0</v>
      </c>
      <c r="N5" s="43" t="n">
        <f aca="false">H5*(1-$E5)</f>
        <v>0</v>
      </c>
      <c r="O5" s="21"/>
    </row>
    <row r="6" customFormat="false" ht="23.85" hidden="false" customHeight="false" outlineLevel="0" collapsed="false">
      <c r="A6" s="32" t="s">
        <v>1225</v>
      </c>
      <c r="B6" s="32" t="s">
        <v>1229</v>
      </c>
      <c r="C6" s="21" t="s">
        <v>1230</v>
      </c>
      <c r="D6" s="32" t="s">
        <v>1228</v>
      </c>
      <c r="E6" s="37" t="n">
        <v>1</v>
      </c>
      <c r="F6" s="38" t="n">
        <v>600000</v>
      </c>
      <c r="G6" s="38" t="n">
        <v>600000</v>
      </c>
      <c r="H6" s="38" t="n">
        <v>600000</v>
      </c>
      <c r="I6" s="43" t="n">
        <f aca="false">F6*$E6</f>
        <v>600000</v>
      </c>
      <c r="J6" s="43" t="n">
        <f aca="false">G6*$E6</f>
        <v>600000</v>
      </c>
      <c r="K6" s="43" t="n">
        <f aca="false">H6*$E6</f>
        <v>600000</v>
      </c>
      <c r="L6" s="43" t="n">
        <f aca="false">F6*(1-$E6)</f>
        <v>0</v>
      </c>
      <c r="M6" s="43" t="n">
        <f aca="false">G6*(1-$E6)</f>
        <v>0</v>
      </c>
      <c r="N6" s="43" t="n">
        <f aca="false">H6*(1-$E6)</f>
        <v>0</v>
      </c>
      <c r="O6" s="21"/>
    </row>
    <row r="7" customFormat="false" ht="15" hidden="false" customHeight="false" outlineLevel="0" collapsed="false">
      <c r="A7" s="32" t="s">
        <v>1231</v>
      </c>
      <c r="B7" s="32" t="s">
        <v>182</v>
      </c>
      <c r="C7" s="21" t="s">
        <v>183</v>
      </c>
      <c r="D7" s="32" t="s">
        <v>1232</v>
      </c>
      <c r="E7" s="37" t="n">
        <v>1</v>
      </c>
      <c r="F7" s="38" t="n">
        <v>180000</v>
      </c>
      <c r="G7" s="38" t="n">
        <v>0</v>
      </c>
      <c r="H7" s="38" t="n">
        <v>0</v>
      </c>
      <c r="I7" s="43" t="n">
        <f aca="false">F7*$E7</f>
        <v>180000</v>
      </c>
      <c r="J7" s="43" t="n">
        <f aca="false">G7*$E7</f>
        <v>0</v>
      </c>
      <c r="K7" s="43" t="n">
        <f aca="false">H7*$E7</f>
        <v>0</v>
      </c>
      <c r="L7" s="43" t="n">
        <f aca="false">F7*(1-$E7)</f>
        <v>0</v>
      </c>
      <c r="M7" s="43" t="n">
        <f aca="false">G7*(1-$E7)</f>
        <v>0</v>
      </c>
      <c r="N7" s="43" t="n">
        <f aca="false">H7*(1-$E7)</f>
        <v>0</v>
      </c>
      <c r="O7" s="21"/>
    </row>
    <row r="8" customFormat="false" ht="15" hidden="false" customHeight="false" outlineLevel="0" collapsed="false">
      <c r="A8" s="32" t="s">
        <v>1233</v>
      </c>
      <c r="B8" s="32" t="s">
        <v>182</v>
      </c>
      <c r="C8" s="21" t="s">
        <v>183</v>
      </c>
      <c r="D8" s="32" t="s">
        <v>1228</v>
      </c>
      <c r="E8" s="37" t="n">
        <v>1</v>
      </c>
      <c r="F8" s="38" t="n">
        <v>30000</v>
      </c>
      <c r="G8" s="38" t="n">
        <v>60000</v>
      </c>
      <c r="H8" s="38" t="n">
        <v>60000</v>
      </c>
      <c r="I8" s="43" t="n">
        <f aca="false">F8*$E8</f>
        <v>30000</v>
      </c>
      <c r="J8" s="43" t="n">
        <f aca="false">G8*$E8</f>
        <v>60000</v>
      </c>
      <c r="K8" s="43" t="n">
        <f aca="false">H8*$E8</f>
        <v>60000</v>
      </c>
      <c r="L8" s="43" t="n">
        <f aca="false">F8*(1-$E8)</f>
        <v>0</v>
      </c>
      <c r="M8" s="43" t="n">
        <f aca="false">G8*(1-$E8)</f>
        <v>0</v>
      </c>
      <c r="N8" s="43" t="n">
        <f aca="false">H8*(1-$E8)</f>
        <v>0</v>
      </c>
      <c r="O8" s="21"/>
    </row>
    <row r="9" customFormat="false" ht="23.85" hidden="false" customHeight="false" outlineLevel="0" collapsed="false">
      <c r="A9" s="32" t="s">
        <v>1231</v>
      </c>
      <c r="B9" s="32" t="s">
        <v>190</v>
      </c>
      <c r="C9" s="21" t="s">
        <v>191</v>
      </c>
      <c r="D9" s="32" t="s">
        <v>1232</v>
      </c>
      <c r="E9" s="37" t="n">
        <v>1</v>
      </c>
      <c r="F9" s="38" t="n">
        <v>250000</v>
      </c>
      <c r="G9" s="38" t="n">
        <v>0</v>
      </c>
      <c r="H9" s="38" t="n">
        <v>0</v>
      </c>
      <c r="I9" s="43" t="n">
        <f aca="false">F9*$E9</f>
        <v>250000</v>
      </c>
      <c r="J9" s="43" t="n">
        <f aca="false">G9*$E9</f>
        <v>0</v>
      </c>
      <c r="K9" s="43" t="n">
        <f aca="false">H9*$E9</f>
        <v>0</v>
      </c>
      <c r="L9" s="43" t="n">
        <f aca="false">F9*(1-$E9)</f>
        <v>0</v>
      </c>
      <c r="M9" s="43" t="n">
        <f aca="false">G9*(1-$E9)</f>
        <v>0</v>
      </c>
      <c r="N9" s="43" t="n">
        <f aca="false">H9*(1-$E9)</f>
        <v>0</v>
      </c>
      <c r="O9" s="21"/>
    </row>
    <row r="10" customFormat="false" ht="23.85" hidden="false" customHeight="false" outlineLevel="0" collapsed="false">
      <c r="A10" s="32" t="s">
        <v>1233</v>
      </c>
      <c r="B10" s="32" t="s">
        <v>190</v>
      </c>
      <c r="C10" s="21" t="s">
        <v>191</v>
      </c>
      <c r="D10" s="32" t="s">
        <v>1228</v>
      </c>
      <c r="E10" s="37" t="n">
        <v>1</v>
      </c>
      <c r="F10" s="38" t="n">
        <v>0</v>
      </c>
      <c r="G10" s="38" t="n">
        <v>80000</v>
      </c>
      <c r="H10" s="38" t="n">
        <v>80000</v>
      </c>
      <c r="I10" s="43" t="n">
        <f aca="false">F10*$E10</f>
        <v>0</v>
      </c>
      <c r="J10" s="43" t="n">
        <f aca="false">G10*$E10</f>
        <v>80000</v>
      </c>
      <c r="K10" s="43" t="n">
        <f aca="false">H10*$E10</f>
        <v>80000</v>
      </c>
      <c r="L10" s="43" t="n">
        <f aca="false">F10*(1-$E10)</f>
        <v>0</v>
      </c>
      <c r="M10" s="43" t="n">
        <f aca="false">G10*(1-$E10)</f>
        <v>0</v>
      </c>
      <c r="N10" s="43" t="n">
        <f aca="false">H10*(1-$E10)</f>
        <v>0</v>
      </c>
      <c r="O10" s="21"/>
    </row>
    <row r="11" customFormat="false" ht="23.85" hidden="false" customHeight="false" outlineLevel="0" collapsed="false">
      <c r="A11" s="32" t="s">
        <v>1231</v>
      </c>
      <c r="B11" s="32" t="s">
        <v>198</v>
      </c>
      <c r="C11" s="21" t="s">
        <v>199</v>
      </c>
      <c r="D11" s="32" t="s">
        <v>1232</v>
      </c>
      <c r="E11" s="37" t="n">
        <v>1</v>
      </c>
      <c r="F11" s="38" t="n">
        <v>200000</v>
      </c>
      <c r="G11" s="38" t="n">
        <v>0</v>
      </c>
      <c r="H11" s="38" t="n">
        <v>0</v>
      </c>
      <c r="I11" s="43" t="n">
        <f aca="false">F11*$E11</f>
        <v>200000</v>
      </c>
      <c r="J11" s="43" t="n">
        <f aca="false">G11*$E11</f>
        <v>0</v>
      </c>
      <c r="K11" s="43" t="n">
        <f aca="false">H11*$E11</f>
        <v>0</v>
      </c>
      <c r="L11" s="43" t="n">
        <f aca="false">F11*(1-$E11)</f>
        <v>0</v>
      </c>
      <c r="M11" s="43" t="n">
        <f aca="false">G11*(1-$E11)</f>
        <v>0</v>
      </c>
      <c r="N11" s="43" t="n">
        <f aca="false">H11*(1-$E11)</f>
        <v>0</v>
      </c>
      <c r="O11" s="21"/>
    </row>
    <row r="12" customFormat="false" ht="23.85" hidden="false" customHeight="false" outlineLevel="0" collapsed="false">
      <c r="A12" s="32" t="s">
        <v>1233</v>
      </c>
      <c r="B12" s="32" t="s">
        <v>198</v>
      </c>
      <c r="C12" s="21" t="s">
        <v>199</v>
      </c>
      <c r="D12" s="32" t="s">
        <v>1228</v>
      </c>
      <c r="E12" s="37" t="n">
        <v>1</v>
      </c>
      <c r="F12" s="38" t="n">
        <v>210000</v>
      </c>
      <c r="G12" s="38" t="n">
        <v>420000</v>
      </c>
      <c r="H12" s="38" t="n">
        <v>420000</v>
      </c>
      <c r="I12" s="43" t="n">
        <f aca="false">F12*$E12</f>
        <v>210000</v>
      </c>
      <c r="J12" s="43" t="n">
        <f aca="false">G12*$E12</f>
        <v>420000</v>
      </c>
      <c r="K12" s="43" t="n">
        <f aca="false">H12*$E12</f>
        <v>420000</v>
      </c>
      <c r="L12" s="43" t="n">
        <f aca="false">F12*(1-$E12)</f>
        <v>0</v>
      </c>
      <c r="M12" s="43" t="n">
        <f aca="false">G12*(1-$E12)</f>
        <v>0</v>
      </c>
      <c r="N12" s="43" t="n">
        <f aca="false">H12*(1-$E12)</f>
        <v>0</v>
      </c>
      <c r="O12" s="21"/>
    </row>
    <row r="13" customFormat="false" ht="23.85" hidden="false" customHeight="false" outlineLevel="0" collapsed="false">
      <c r="A13" s="32" t="s">
        <v>1231</v>
      </c>
      <c r="B13" s="32" t="s">
        <v>202</v>
      </c>
      <c r="C13" s="21" t="s">
        <v>203</v>
      </c>
      <c r="D13" s="32" t="s">
        <v>1232</v>
      </c>
      <c r="E13" s="37" t="n">
        <v>0.5</v>
      </c>
      <c r="F13" s="38" t="n">
        <v>300000</v>
      </c>
      <c r="G13" s="38" t="n">
        <v>0</v>
      </c>
      <c r="H13" s="38" t="n">
        <v>0</v>
      </c>
      <c r="I13" s="43" t="n">
        <f aca="false">F13*$E13</f>
        <v>150000</v>
      </c>
      <c r="J13" s="43" t="n">
        <f aca="false">G13*$E13</f>
        <v>0</v>
      </c>
      <c r="K13" s="43" t="n">
        <f aca="false">H13*$E13</f>
        <v>0</v>
      </c>
      <c r="L13" s="43" t="n">
        <f aca="false">F13*(1-$E13)</f>
        <v>150000</v>
      </c>
      <c r="M13" s="43" t="n">
        <f aca="false">G13*(1-$E13)</f>
        <v>0</v>
      </c>
      <c r="N13" s="43" t="n">
        <f aca="false">H13*(1-$E13)</f>
        <v>0</v>
      </c>
      <c r="O13" s="21" t="s">
        <v>1234</v>
      </c>
    </row>
    <row r="14" customFormat="false" ht="23.85" hidden="false" customHeight="false" outlineLevel="0" collapsed="false">
      <c r="A14" s="32" t="s">
        <v>1233</v>
      </c>
      <c r="B14" s="32" t="s">
        <v>202</v>
      </c>
      <c r="C14" s="21" t="s">
        <v>203</v>
      </c>
      <c r="D14" s="32" t="s">
        <v>1228</v>
      </c>
      <c r="E14" s="37" t="n">
        <v>0.5</v>
      </c>
      <c r="F14" s="38" t="n">
        <v>22500</v>
      </c>
      <c r="G14" s="38" t="n">
        <v>90000</v>
      </c>
      <c r="H14" s="38" t="n">
        <v>90000</v>
      </c>
      <c r="I14" s="43" t="n">
        <f aca="false">F14*$E14</f>
        <v>11250</v>
      </c>
      <c r="J14" s="43" t="n">
        <f aca="false">G14*$E14</f>
        <v>45000</v>
      </c>
      <c r="K14" s="43" t="n">
        <f aca="false">H14*$E14</f>
        <v>45000</v>
      </c>
      <c r="L14" s="43" t="n">
        <f aca="false">F14*(1-$E14)</f>
        <v>11250</v>
      </c>
      <c r="M14" s="43" t="n">
        <f aca="false">G14*(1-$E14)</f>
        <v>45000</v>
      </c>
      <c r="N14" s="43" t="n">
        <f aca="false">H14*(1-$E14)</f>
        <v>45000</v>
      </c>
      <c r="O14" s="21" t="s">
        <v>1234</v>
      </c>
    </row>
    <row r="15" customFormat="false" ht="23.85" hidden="false" customHeight="false" outlineLevel="0" collapsed="false">
      <c r="A15" s="32" t="s">
        <v>1231</v>
      </c>
      <c r="B15" s="32" t="s">
        <v>208</v>
      </c>
      <c r="C15" s="21" t="s">
        <v>209</v>
      </c>
      <c r="D15" s="32" t="s">
        <v>1232</v>
      </c>
      <c r="E15" s="37" t="n">
        <v>0.75</v>
      </c>
      <c r="F15" s="38" t="n">
        <v>150000</v>
      </c>
      <c r="G15" s="38" t="n">
        <v>0</v>
      </c>
      <c r="H15" s="38" t="n">
        <v>0</v>
      </c>
      <c r="I15" s="43" t="n">
        <f aca="false">F15*$E15</f>
        <v>112500</v>
      </c>
      <c r="J15" s="43" t="n">
        <f aca="false">G15*$E15</f>
        <v>0</v>
      </c>
      <c r="K15" s="43" t="n">
        <f aca="false">H15*$E15</f>
        <v>0</v>
      </c>
      <c r="L15" s="43" t="n">
        <f aca="false">F15*(1-$E15)</f>
        <v>37500</v>
      </c>
      <c r="M15" s="43" t="n">
        <f aca="false">G15*(1-$E15)</f>
        <v>0</v>
      </c>
      <c r="N15" s="43" t="n">
        <f aca="false">H15*(1-$E15)</f>
        <v>0</v>
      </c>
      <c r="O15" s="21" t="s">
        <v>1235</v>
      </c>
    </row>
    <row r="16" customFormat="false" ht="23.85" hidden="false" customHeight="false" outlineLevel="0" collapsed="false">
      <c r="A16" s="32" t="s">
        <v>1233</v>
      </c>
      <c r="B16" s="32" t="s">
        <v>208</v>
      </c>
      <c r="C16" s="21" t="s">
        <v>209</v>
      </c>
      <c r="D16" s="32" t="s">
        <v>1228</v>
      </c>
      <c r="E16" s="37" t="n">
        <v>0.75</v>
      </c>
      <c r="F16" s="38" t="n">
        <v>54000</v>
      </c>
      <c r="G16" s="38" t="n">
        <v>216000</v>
      </c>
      <c r="H16" s="38" t="n">
        <v>216000</v>
      </c>
      <c r="I16" s="43" t="n">
        <f aca="false">F16*$E16</f>
        <v>40500</v>
      </c>
      <c r="J16" s="43" t="n">
        <f aca="false">G16*$E16</f>
        <v>162000</v>
      </c>
      <c r="K16" s="43" t="n">
        <f aca="false">H16*$E16</f>
        <v>162000</v>
      </c>
      <c r="L16" s="43" t="n">
        <f aca="false">F16*(1-$E16)</f>
        <v>13500</v>
      </c>
      <c r="M16" s="43" t="n">
        <f aca="false">G16*(1-$E16)</f>
        <v>54000</v>
      </c>
      <c r="N16" s="43" t="n">
        <f aca="false">H16*(1-$E16)</f>
        <v>54000</v>
      </c>
      <c r="O16" s="21" t="s">
        <v>1235</v>
      </c>
    </row>
    <row r="17" customFormat="false" ht="15" hidden="false" customHeight="false" outlineLevel="0" collapsed="false">
      <c r="A17" s="32" t="s">
        <v>1231</v>
      </c>
      <c r="B17" s="32" t="s">
        <v>212</v>
      </c>
      <c r="C17" s="21" t="s">
        <v>213</v>
      </c>
      <c r="D17" s="32" t="s">
        <v>1232</v>
      </c>
      <c r="E17" s="37" t="n">
        <v>0.5</v>
      </c>
      <c r="F17" s="38" t="n">
        <v>150000</v>
      </c>
      <c r="G17" s="38" t="n">
        <v>300000</v>
      </c>
      <c r="H17" s="38" t="n">
        <v>0</v>
      </c>
      <c r="I17" s="43" t="n">
        <f aca="false">F17*$E17</f>
        <v>75000</v>
      </c>
      <c r="J17" s="43" t="n">
        <f aca="false">G17*$E17</f>
        <v>150000</v>
      </c>
      <c r="K17" s="43" t="n">
        <f aca="false">H17*$E17</f>
        <v>0</v>
      </c>
      <c r="L17" s="43" t="n">
        <f aca="false">F17*(1-$E17)</f>
        <v>75000</v>
      </c>
      <c r="M17" s="43" t="n">
        <f aca="false">G17*(1-$E17)</f>
        <v>150000</v>
      </c>
      <c r="N17" s="43" t="n">
        <f aca="false">H17*(1-$E17)</f>
        <v>0</v>
      </c>
      <c r="O17" s="21" t="s">
        <v>1236</v>
      </c>
    </row>
    <row r="18" customFormat="false" ht="15" hidden="false" customHeight="false" outlineLevel="0" collapsed="false">
      <c r="A18" s="32" t="s">
        <v>1233</v>
      </c>
      <c r="B18" s="32" t="s">
        <v>212</v>
      </c>
      <c r="C18" s="21" t="s">
        <v>213</v>
      </c>
      <c r="D18" s="32" t="s">
        <v>1228</v>
      </c>
      <c r="E18" s="37" t="n">
        <v>0.5</v>
      </c>
      <c r="F18" s="38" t="n">
        <v>0</v>
      </c>
      <c r="G18" s="38" t="n">
        <v>0</v>
      </c>
      <c r="H18" s="38" t="n">
        <v>70000</v>
      </c>
      <c r="I18" s="43" t="n">
        <f aca="false">F18*$E18</f>
        <v>0</v>
      </c>
      <c r="J18" s="43" t="n">
        <f aca="false">G18*$E18</f>
        <v>0</v>
      </c>
      <c r="K18" s="43" t="n">
        <f aca="false">H18*$E18</f>
        <v>35000</v>
      </c>
      <c r="L18" s="43" t="n">
        <f aca="false">F18*(1-$E18)</f>
        <v>0</v>
      </c>
      <c r="M18" s="43" t="n">
        <f aca="false">G18*(1-$E18)</f>
        <v>0</v>
      </c>
      <c r="N18" s="43" t="n">
        <f aca="false">H18*(1-$E18)</f>
        <v>35000</v>
      </c>
      <c r="O18" s="21" t="s">
        <v>1236</v>
      </c>
    </row>
    <row r="19" customFormat="false" ht="23.85" hidden="false" customHeight="false" outlineLevel="0" collapsed="false">
      <c r="A19" s="32" t="s">
        <v>1231</v>
      </c>
      <c r="B19" s="32" t="s">
        <v>218</v>
      </c>
      <c r="C19" s="21" t="s">
        <v>219</v>
      </c>
      <c r="D19" s="32" t="s">
        <v>1232</v>
      </c>
      <c r="E19" s="37" t="n">
        <v>0.7</v>
      </c>
      <c r="F19" s="38" t="n">
        <v>180000</v>
      </c>
      <c r="G19" s="38" t="n">
        <v>0</v>
      </c>
      <c r="H19" s="38" t="n">
        <v>0</v>
      </c>
      <c r="I19" s="43" t="n">
        <f aca="false">F19*$E19</f>
        <v>126000</v>
      </c>
      <c r="J19" s="43" t="n">
        <f aca="false">G19*$E19</f>
        <v>0</v>
      </c>
      <c r="K19" s="43" t="n">
        <f aca="false">H19*$E19</f>
        <v>0</v>
      </c>
      <c r="L19" s="43" t="n">
        <f aca="false">F19*(1-$E19)</f>
        <v>54000</v>
      </c>
      <c r="M19" s="43" t="n">
        <f aca="false">G19*(1-$E19)</f>
        <v>0</v>
      </c>
      <c r="N19" s="43" t="n">
        <f aca="false">H19*(1-$E19)</f>
        <v>0</v>
      </c>
      <c r="O19" s="21" t="s">
        <v>1237</v>
      </c>
    </row>
    <row r="20" customFormat="false" ht="23.85" hidden="false" customHeight="false" outlineLevel="0" collapsed="false">
      <c r="A20" s="32" t="s">
        <v>1233</v>
      </c>
      <c r="B20" s="32" t="s">
        <v>218</v>
      </c>
      <c r="C20" s="21" t="s">
        <v>219</v>
      </c>
      <c r="D20" s="32" t="s">
        <v>1228</v>
      </c>
      <c r="E20" s="37" t="n">
        <v>0.7</v>
      </c>
      <c r="F20" s="38" t="n">
        <v>0</v>
      </c>
      <c r="G20" s="38" t="n">
        <v>90000</v>
      </c>
      <c r="H20" s="38" t="n">
        <v>90000</v>
      </c>
      <c r="I20" s="43" t="n">
        <f aca="false">F20*$E20</f>
        <v>0</v>
      </c>
      <c r="J20" s="43" t="n">
        <f aca="false">G20*$E20</f>
        <v>63000</v>
      </c>
      <c r="K20" s="43" t="n">
        <f aca="false">H20*$E20</f>
        <v>63000</v>
      </c>
      <c r="L20" s="43" t="n">
        <f aca="false">F20*(1-$E20)</f>
        <v>0</v>
      </c>
      <c r="M20" s="43" t="n">
        <f aca="false">G20*(1-$E20)</f>
        <v>27000</v>
      </c>
      <c r="N20" s="43" t="n">
        <f aca="false">H20*(1-$E20)</f>
        <v>27000</v>
      </c>
      <c r="O20" s="21" t="s">
        <v>1237</v>
      </c>
    </row>
    <row r="21" customFormat="false" ht="15" hidden="false" customHeight="false" outlineLevel="0" collapsed="false">
      <c r="A21" s="32" t="s">
        <v>1231</v>
      </c>
      <c r="B21" s="32" t="s">
        <v>224</v>
      </c>
      <c r="C21" s="21" t="s">
        <v>225</v>
      </c>
      <c r="D21" s="32" t="s">
        <v>1232</v>
      </c>
      <c r="E21" s="37" t="n">
        <v>1</v>
      </c>
      <c r="F21" s="38" t="n">
        <v>120000</v>
      </c>
      <c r="G21" s="38" t="n">
        <v>0</v>
      </c>
      <c r="H21" s="38" t="n">
        <v>0</v>
      </c>
      <c r="I21" s="43" t="n">
        <f aca="false">F21*$E21</f>
        <v>120000</v>
      </c>
      <c r="J21" s="43" t="n">
        <f aca="false">G21*$E21</f>
        <v>0</v>
      </c>
      <c r="K21" s="43" t="n">
        <f aca="false">H21*$E21</f>
        <v>0</v>
      </c>
      <c r="L21" s="43" t="n">
        <f aca="false">F21*(1-$E21)</f>
        <v>0</v>
      </c>
      <c r="M21" s="43" t="n">
        <f aca="false">G21*(1-$E21)</f>
        <v>0</v>
      </c>
      <c r="N21" s="43" t="n">
        <f aca="false">H21*(1-$E21)</f>
        <v>0</v>
      </c>
      <c r="O21" s="21"/>
    </row>
    <row r="22" customFormat="false" ht="15" hidden="false" customHeight="false" outlineLevel="0" collapsed="false">
      <c r="A22" s="32" t="s">
        <v>1233</v>
      </c>
      <c r="B22" s="32" t="s">
        <v>224</v>
      </c>
      <c r="C22" s="21" t="s">
        <v>225</v>
      </c>
      <c r="D22" s="32" t="s">
        <v>1228</v>
      </c>
      <c r="E22" s="37" t="n">
        <v>1</v>
      </c>
      <c r="F22" s="38" t="n">
        <v>30000</v>
      </c>
      <c r="G22" s="38" t="n">
        <v>60000</v>
      </c>
      <c r="H22" s="38" t="n">
        <v>60000</v>
      </c>
      <c r="I22" s="43" t="n">
        <f aca="false">F22*$E22</f>
        <v>30000</v>
      </c>
      <c r="J22" s="43" t="n">
        <f aca="false">G22*$E22</f>
        <v>60000</v>
      </c>
      <c r="K22" s="43" t="n">
        <f aca="false">H22*$E22</f>
        <v>60000</v>
      </c>
      <c r="L22" s="43" t="n">
        <f aca="false">F22*(1-$E22)</f>
        <v>0</v>
      </c>
      <c r="M22" s="43" t="n">
        <f aca="false">G22*(1-$E22)</f>
        <v>0</v>
      </c>
      <c r="N22" s="43" t="n">
        <f aca="false">H22*(1-$E22)</f>
        <v>0</v>
      </c>
      <c r="O22" s="21"/>
    </row>
    <row r="23" customFormat="false" ht="15" hidden="false" customHeight="false" outlineLevel="0" collapsed="false">
      <c r="A23" s="32" t="s">
        <v>1231</v>
      </c>
      <c r="B23" s="32" t="s">
        <v>229</v>
      </c>
      <c r="C23" s="21" t="s">
        <v>230</v>
      </c>
      <c r="D23" s="32" t="s">
        <v>1232</v>
      </c>
      <c r="E23" s="37" t="n">
        <v>1</v>
      </c>
      <c r="F23" s="38" t="n">
        <v>200000</v>
      </c>
      <c r="G23" s="38" t="n">
        <v>0</v>
      </c>
      <c r="H23" s="38" t="n">
        <v>0</v>
      </c>
      <c r="I23" s="43" t="n">
        <f aca="false">F23*$E23</f>
        <v>200000</v>
      </c>
      <c r="J23" s="43" t="n">
        <f aca="false">G23*$E23</f>
        <v>0</v>
      </c>
      <c r="K23" s="43" t="n">
        <f aca="false">H23*$E23</f>
        <v>0</v>
      </c>
      <c r="L23" s="43" t="n">
        <f aca="false">F23*(1-$E23)</f>
        <v>0</v>
      </c>
      <c r="M23" s="43" t="n">
        <f aca="false">G23*(1-$E23)</f>
        <v>0</v>
      </c>
      <c r="N23" s="43" t="n">
        <f aca="false">H23*(1-$E23)</f>
        <v>0</v>
      </c>
      <c r="O23" s="21"/>
    </row>
    <row r="24" customFormat="false" ht="15" hidden="false" customHeight="false" outlineLevel="0" collapsed="false">
      <c r="A24" s="32" t="s">
        <v>1233</v>
      </c>
      <c r="B24" s="32" t="s">
        <v>229</v>
      </c>
      <c r="C24" s="21" t="s">
        <v>230</v>
      </c>
      <c r="D24" s="32" t="s">
        <v>1228</v>
      </c>
      <c r="E24" s="37" t="n">
        <v>1</v>
      </c>
      <c r="F24" s="38" t="n">
        <v>0</v>
      </c>
      <c r="G24" s="38" t="n">
        <v>90000</v>
      </c>
      <c r="H24" s="38" t="n">
        <v>90000</v>
      </c>
      <c r="I24" s="43" t="n">
        <f aca="false">F24*$E24</f>
        <v>0</v>
      </c>
      <c r="J24" s="43" t="n">
        <f aca="false">G24*$E24</f>
        <v>90000</v>
      </c>
      <c r="K24" s="43" t="n">
        <f aca="false">H24*$E24</f>
        <v>90000</v>
      </c>
      <c r="L24" s="43" t="n">
        <f aca="false">F24*(1-$E24)</f>
        <v>0</v>
      </c>
      <c r="M24" s="43" t="n">
        <f aca="false">G24*(1-$E24)</f>
        <v>0</v>
      </c>
      <c r="N24" s="43" t="n">
        <f aca="false">H24*(1-$E24)</f>
        <v>0</v>
      </c>
      <c r="O24" s="21"/>
    </row>
    <row r="25" customFormat="false" ht="15" hidden="false" customHeight="false" outlineLevel="0" collapsed="false">
      <c r="A25" s="32" t="s">
        <v>1231</v>
      </c>
      <c r="B25" s="32" t="s">
        <v>234</v>
      </c>
      <c r="C25" s="21" t="s">
        <v>235</v>
      </c>
      <c r="D25" s="32" t="s">
        <v>1232</v>
      </c>
      <c r="E25" s="37" t="n">
        <v>1</v>
      </c>
      <c r="F25" s="38" t="n">
        <v>90000</v>
      </c>
      <c r="G25" s="38" t="n">
        <v>0</v>
      </c>
      <c r="H25" s="38" t="n">
        <v>0</v>
      </c>
      <c r="I25" s="43" t="n">
        <f aca="false">F25*$E25</f>
        <v>90000</v>
      </c>
      <c r="J25" s="43" t="n">
        <f aca="false">G25*$E25</f>
        <v>0</v>
      </c>
      <c r="K25" s="43" t="n">
        <f aca="false">H25*$E25</f>
        <v>0</v>
      </c>
      <c r="L25" s="43" t="n">
        <f aca="false">F25*(1-$E25)</f>
        <v>0</v>
      </c>
      <c r="M25" s="43" t="n">
        <f aca="false">G25*(1-$E25)</f>
        <v>0</v>
      </c>
      <c r="N25" s="43" t="n">
        <f aca="false">H25*(1-$E25)</f>
        <v>0</v>
      </c>
      <c r="O25" s="21"/>
    </row>
    <row r="26" customFormat="false" ht="15" hidden="false" customHeight="false" outlineLevel="0" collapsed="false">
      <c r="A26" s="32" t="s">
        <v>1233</v>
      </c>
      <c r="B26" s="32" t="s">
        <v>234</v>
      </c>
      <c r="C26" s="21" t="s">
        <v>235</v>
      </c>
      <c r="D26" s="32" t="s">
        <v>1228</v>
      </c>
      <c r="E26" s="37" t="n">
        <v>1</v>
      </c>
      <c r="F26" s="38" t="n">
        <v>0</v>
      </c>
      <c r="G26" s="38" t="n">
        <v>70000</v>
      </c>
      <c r="H26" s="38" t="n">
        <v>70000</v>
      </c>
      <c r="I26" s="43" t="n">
        <f aca="false">F26*$E26</f>
        <v>0</v>
      </c>
      <c r="J26" s="43" t="n">
        <f aca="false">G26*$E26</f>
        <v>70000</v>
      </c>
      <c r="K26" s="43" t="n">
        <f aca="false">H26*$E26</f>
        <v>70000</v>
      </c>
      <c r="L26" s="43" t="n">
        <f aca="false">F26*(1-$E26)</f>
        <v>0</v>
      </c>
      <c r="M26" s="43" t="n">
        <f aca="false">G26*(1-$E26)</f>
        <v>0</v>
      </c>
      <c r="N26" s="43" t="n">
        <f aca="false">H26*(1-$E26)</f>
        <v>0</v>
      </c>
      <c r="O26" s="21"/>
    </row>
    <row r="27" customFormat="false" ht="23.85" hidden="false" customHeight="false" outlineLevel="0" collapsed="false">
      <c r="A27" s="32" t="s">
        <v>1231</v>
      </c>
      <c r="B27" s="32" t="s">
        <v>239</v>
      </c>
      <c r="C27" s="21" t="s">
        <v>240</v>
      </c>
      <c r="D27" s="32" t="s">
        <v>1232</v>
      </c>
      <c r="E27" s="37" t="n">
        <v>0.7</v>
      </c>
      <c r="F27" s="38" t="n">
        <v>120000</v>
      </c>
      <c r="G27" s="38" t="n">
        <v>0</v>
      </c>
      <c r="H27" s="38" t="n">
        <v>0</v>
      </c>
      <c r="I27" s="43" t="n">
        <f aca="false">F27*$E27</f>
        <v>84000</v>
      </c>
      <c r="J27" s="43" t="n">
        <f aca="false">G27*$E27</f>
        <v>0</v>
      </c>
      <c r="K27" s="43" t="n">
        <f aca="false">H27*$E27</f>
        <v>0</v>
      </c>
      <c r="L27" s="43" t="n">
        <f aca="false">F27*(1-$E27)</f>
        <v>36000</v>
      </c>
      <c r="M27" s="43" t="n">
        <f aca="false">G27*(1-$E27)</f>
        <v>0</v>
      </c>
      <c r="N27" s="43" t="n">
        <f aca="false">H27*(1-$E27)</f>
        <v>0</v>
      </c>
      <c r="O27" s="21" t="s">
        <v>1238</v>
      </c>
    </row>
    <row r="28" customFormat="false" ht="23.85" hidden="false" customHeight="false" outlineLevel="0" collapsed="false">
      <c r="A28" s="32" t="s">
        <v>1233</v>
      </c>
      <c r="B28" s="32" t="s">
        <v>239</v>
      </c>
      <c r="C28" s="21" t="s">
        <v>240</v>
      </c>
      <c r="D28" s="32" t="s">
        <v>1228</v>
      </c>
      <c r="E28" s="37" t="n">
        <v>0.7</v>
      </c>
      <c r="F28" s="38" t="n">
        <v>40000</v>
      </c>
      <c r="G28" s="38" t="n">
        <v>80000</v>
      </c>
      <c r="H28" s="38" t="n">
        <v>80000</v>
      </c>
      <c r="I28" s="43" t="n">
        <f aca="false">F28*$E28</f>
        <v>28000</v>
      </c>
      <c r="J28" s="43" t="n">
        <f aca="false">G28*$E28</f>
        <v>56000</v>
      </c>
      <c r="K28" s="43" t="n">
        <f aca="false">H28*$E28</f>
        <v>56000</v>
      </c>
      <c r="L28" s="43" t="n">
        <f aca="false">F28*(1-$E28)</f>
        <v>12000</v>
      </c>
      <c r="M28" s="43" t="n">
        <f aca="false">G28*(1-$E28)</f>
        <v>24000</v>
      </c>
      <c r="N28" s="43" t="n">
        <f aca="false">H28*(1-$E28)</f>
        <v>24000</v>
      </c>
      <c r="O28" s="21" t="s">
        <v>1238</v>
      </c>
    </row>
    <row r="29" customFormat="false" ht="15" hidden="false" customHeight="false" outlineLevel="0" collapsed="false">
      <c r="A29" s="32" t="s">
        <v>1231</v>
      </c>
      <c r="B29" s="32" t="s">
        <v>244</v>
      </c>
      <c r="C29" s="21" t="s">
        <v>245</v>
      </c>
      <c r="D29" s="32" t="s">
        <v>1232</v>
      </c>
      <c r="E29" s="37" t="n">
        <v>1</v>
      </c>
      <c r="F29" s="38" t="n">
        <v>70000</v>
      </c>
      <c r="G29" s="38" t="n">
        <v>0</v>
      </c>
      <c r="H29" s="38" t="n">
        <v>0</v>
      </c>
      <c r="I29" s="43" t="n">
        <f aca="false">F29*$E29</f>
        <v>70000</v>
      </c>
      <c r="J29" s="43" t="n">
        <f aca="false">G29*$E29</f>
        <v>0</v>
      </c>
      <c r="K29" s="43" t="n">
        <f aca="false">H29*$E29</f>
        <v>0</v>
      </c>
      <c r="L29" s="43" t="n">
        <f aca="false">F29*(1-$E29)</f>
        <v>0</v>
      </c>
      <c r="M29" s="43" t="n">
        <f aca="false">G29*(1-$E29)</f>
        <v>0</v>
      </c>
      <c r="N29" s="43" t="n">
        <f aca="false">H29*(1-$E29)</f>
        <v>0</v>
      </c>
      <c r="O29" s="21"/>
    </row>
    <row r="30" customFormat="false" ht="15" hidden="false" customHeight="false" outlineLevel="0" collapsed="false">
      <c r="A30" s="32" t="s">
        <v>1233</v>
      </c>
      <c r="B30" s="32" t="s">
        <v>244</v>
      </c>
      <c r="C30" s="21" t="s">
        <v>245</v>
      </c>
      <c r="D30" s="32" t="s">
        <v>1228</v>
      </c>
      <c r="E30" s="37" t="n">
        <v>1</v>
      </c>
      <c r="F30" s="38" t="n">
        <v>67500</v>
      </c>
      <c r="G30" s="38" t="n">
        <v>90000</v>
      </c>
      <c r="H30" s="38" t="n">
        <v>90000</v>
      </c>
      <c r="I30" s="43" t="n">
        <f aca="false">F30*$E30</f>
        <v>67500</v>
      </c>
      <c r="J30" s="43" t="n">
        <f aca="false">G30*$E30</f>
        <v>90000</v>
      </c>
      <c r="K30" s="43" t="n">
        <f aca="false">H30*$E30</f>
        <v>90000</v>
      </c>
      <c r="L30" s="43" t="n">
        <f aca="false">F30*(1-$E30)</f>
        <v>0</v>
      </c>
      <c r="M30" s="43" t="n">
        <f aca="false">G30*(1-$E30)</f>
        <v>0</v>
      </c>
      <c r="N30" s="43" t="n">
        <f aca="false">H30*(1-$E30)</f>
        <v>0</v>
      </c>
      <c r="O30" s="21"/>
    </row>
    <row r="31" customFormat="false" ht="23.85" hidden="false" customHeight="false" outlineLevel="0" collapsed="false">
      <c r="A31" s="32" t="s">
        <v>1231</v>
      </c>
      <c r="B31" s="32" t="s">
        <v>248</v>
      </c>
      <c r="C31" s="21" t="s">
        <v>249</v>
      </c>
      <c r="D31" s="32" t="s">
        <v>1232</v>
      </c>
      <c r="E31" s="37" t="n">
        <v>0.5</v>
      </c>
      <c r="F31" s="38" t="n">
        <v>66666.6666666667</v>
      </c>
      <c r="G31" s="38" t="n">
        <v>33333.3333333333</v>
      </c>
      <c r="H31" s="38" t="n">
        <v>0</v>
      </c>
      <c r="I31" s="43" t="n">
        <f aca="false">F31*$E31</f>
        <v>33333.3333333333</v>
      </c>
      <c r="J31" s="43" t="n">
        <f aca="false">G31*$E31</f>
        <v>16666.6666666667</v>
      </c>
      <c r="K31" s="43" t="n">
        <f aca="false">H31*$E31</f>
        <v>0</v>
      </c>
      <c r="L31" s="43" t="n">
        <f aca="false">F31*(1-$E31)</f>
        <v>33333.3333333333</v>
      </c>
      <c r="M31" s="43" t="n">
        <f aca="false">G31*(1-$E31)</f>
        <v>16666.6666666667</v>
      </c>
      <c r="N31" s="43" t="n">
        <f aca="false">H31*(1-$E31)</f>
        <v>0</v>
      </c>
      <c r="O31" s="21" t="s">
        <v>1239</v>
      </c>
    </row>
    <row r="32" customFormat="false" ht="23.85" hidden="false" customHeight="false" outlineLevel="0" collapsed="false">
      <c r="A32" s="32" t="s">
        <v>1233</v>
      </c>
      <c r="B32" s="32" t="s">
        <v>248</v>
      </c>
      <c r="C32" s="21" t="s">
        <v>249</v>
      </c>
      <c r="D32" s="32" t="s">
        <v>1228</v>
      </c>
      <c r="E32" s="37" t="n">
        <v>0.5</v>
      </c>
      <c r="F32" s="38" t="n">
        <v>0</v>
      </c>
      <c r="G32" s="38" t="n">
        <v>30000</v>
      </c>
      <c r="H32" s="38" t="n">
        <v>40000</v>
      </c>
      <c r="I32" s="43" t="n">
        <f aca="false">F32*$E32</f>
        <v>0</v>
      </c>
      <c r="J32" s="43" t="n">
        <f aca="false">G32*$E32</f>
        <v>15000</v>
      </c>
      <c r="K32" s="43" t="n">
        <f aca="false">H32*$E32</f>
        <v>20000</v>
      </c>
      <c r="L32" s="43" t="n">
        <f aca="false">F32*(1-$E32)</f>
        <v>0</v>
      </c>
      <c r="M32" s="43" t="n">
        <f aca="false">G32*(1-$E32)</f>
        <v>15000</v>
      </c>
      <c r="N32" s="43" t="n">
        <f aca="false">H32*(1-$E32)</f>
        <v>20000</v>
      </c>
      <c r="O32" s="21" t="s">
        <v>1239</v>
      </c>
    </row>
    <row r="33" customFormat="false" ht="23.85" hidden="false" customHeight="false" outlineLevel="0" collapsed="false">
      <c r="A33" s="32" t="s">
        <v>1231</v>
      </c>
      <c r="B33" s="32" t="s">
        <v>254</v>
      </c>
      <c r="C33" s="21" t="s">
        <v>255</v>
      </c>
      <c r="D33" s="32" t="s">
        <v>1232</v>
      </c>
      <c r="E33" s="37" t="n">
        <v>0.8</v>
      </c>
      <c r="F33" s="38" t="n">
        <v>140000</v>
      </c>
      <c r="G33" s="38" t="n">
        <v>0</v>
      </c>
      <c r="H33" s="38" t="n">
        <v>0</v>
      </c>
      <c r="I33" s="43" t="n">
        <f aca="false">F33*$E33</f>
        <v>112000</v>
      </c>
      <c r="J33" s="43" t="n">
        <f aca="false">G33*$E33</f>
        <v>0</v>
      </c>
      <c r="K33" s="43" t="n">
        <f aca="false">H33*$E33</f>
        <v>0</v>
      </c>
      <c r="L33" s="43" t="n">
        <f aca="false">F33*(1-$E33)</f>
        <v>28000</v>
      </c>
      <c r="M33" s="43" t="n">
        <f aca="false">G33*(1-$E33)</f>
        <v>0</v>
      </c>
      <c r="N33" s="43" t="n">
        <f aca="false">H33*(1-$E33)</f>
        <v>0</v>
      </c>
      <c r="O33" s="21" t="s">
        <v>1240</v>
      </c>
    </row>
    <row r="34" customFormat="false" ht="23.85" hidden="false" customHeight="false" outlineLevel="0" collapsed="false">
      <c r="A34" s="32" t="s">
        <v>1233</v>
      </c>
      <c r="B34" s="32" t="s">
        <v>254</v>
      </c>
      <c r="C34" s="21" t="s">
        <v>255</v>
      </c>
      <c r="D34" s="32" t="s">
        <v>1228</v>
      </c>
      <c r="E34" s="37" t="n">
        <v>0.8</v>
      </c>
      <c r="F34" s="38" t="n">
        <v>17500</v>
      </c>
      <c r="G34" s="38" t="n">
        <v>70000</v>
      </c>
      <c r="H34" s="38" t="n">
        <v>70000</v>
      </c>
      <c r="I34" s="43" t="n">
        <f aca="false">F34*$E34</f>
        <v>14000</v>
      </c>
      <c r="J34" s="43" t="n">
        <f aca="false">G34*$E34</f>
        <v>56000</v>
      </c>
      <c r="K34" s="43" t="n">
        <f aca="false">H34*$E34</f>
        <v>56000</v>
      </c>
      <c r="L34" s="43" t="n">
        <f aca="false">F34*(1-$E34)</f>
        <v>3500</v>
      </c>
      <c r="M34" s="43" t="n">
        <f aca="false">G34*(1-$E34)</f>
        <v>14000</v>
      </c>
      <c r="N34" s="43" t="n">
        <f aca="false">H34*(1-$E34)</f>
        <v>14000</v>
      </c>
      <c r="O34" s="21" t="s">
        <v>1240</v>
      </c>
    </row>
    <row r="35" customFormat="false" ht="15" hidden="false" customHeight="false" outlineLevel="0" collapsed="false">
      <c r="A35" s="32" t="s">
        <v>1231</v>
      </c>
      <c r="B35" s="32" t="s">
        <v>258</v>
      </c>
      <c r="C35" s="21" t="s">
        <v>259</v>
      </c>
      <c r="D35" s="32" t="s">
        <v>1232</v>
      </c>
      <c r="E35" s="37" t="n">
        <v>1</v>
      </c>
      <c r="F35" s="38" t="n">
        <v>40000</v>
      </c>
      <c r="G35" s="38" t="n">
        <v>0</v>
      </c>
      <c r="H35" s="38" t="n">
        <v>0</v>
      </c>
      <c r="I35" s="43" t="n">
        <f aca="false">F35*$E35</f>
        <v>40000</v>
      </c>
      <c r="J35" s="43" t="n">
        <f aca="false">G35*$E35</f>
        <v>0</v>
      </c>
      <c r="K35" s="43" t="n">
        <f aca="false">H35*$E35</f>
        <v>0</v>
      </c>
      <c r="L35" s="43" t="n">
        <f aca="false">F35*(1-$E35)</f>
        <v>0</v>
      </c>
      <c r="M35" s="43" t="n">
        <f aca="false">G35*(1-$E35)</f>
        <v>0</v>
      </c>
      <c r="N35" s="43" t="n">
        <f aca="false">H35*(1-$E35)</f>
        <v>0</v>
      </c>
      <c r="O35" s="21"/>
    </row>
    <row r="36" customFormat="false" ht="15" hidden="false" customHeight="false" outlineLevel="0" collapsed="false">
      <c r="A36" s="32" t="s">
        <v>1233</v>
      </c>
      <c r="B36" s="32" t="s">
        <v>258</v>
      </c>
      <c r="C36" s="21" t="s">
        <v>259</v>
      </c>
      <c r="D36" s="32" t="s">
        <v>1228</v>
      </c>
      <c r="E36" s="37" t="n">
        <v>1</v>
      </c>
      <c r="F36" s="38" t="n">
        <v>40000</v>
      </c>
      <c r="G36" s="38" t="n">
        <v>60000</v>
      </c>
      <c r="H36" s="38" t="n">
        <v>60000</v>
      </c>
      <c r="I36" s="43" t="n">
        <f aca="false">F36*$E36</f>
        <v>40000</v>
      </c>
      <c r="J36" s="43" t="n">
        <f aca="false">G36*$E36</f>
        <v>60000</v>
      </c>
      <c r="K36" s="43" t="n">
        <f aca="false">H36*$E36</f>
        <v>60000</v>
      </c>
      <c r="L36" s="43" t="n">
        <f aca="false">F36*(1-$E36)</f>
        <v>0</v>
      </c>
      <c r="M36" s="43" t="n">
        <f aca="false">G36*(1-$E36)</f>
        <v>0</v>
      </c>
      <c r="N36" s="43" t="n">
        <f aca="false">H36*(1-$E36)</f>
        <v>0</v>
      </c>
      <c r="O36" s="21"/>
    </row>
    <row r="37" customFormat="false" ht="15" hidden="false" customHeight="false" outlineLevel="0" collapsed="false">
      <c r="A37" s="32" t="s">
        <v>1231</v>
      </c>
      <c r="B37" s="32" t="s">
        <v>263</v>
      </c>
      <c r="C37" s="21" t="s">
        <v>264</v>
      </c>
      <c r="D37" s="32" t="s">
        <v>1232</v>
      </c>
      <c r="E37" s="37" t="n">
        <v>1</v>
      </c>
      <c r="F37" s="38" t="n">
        <v>30000</v>
      </c>
      <c r="G37" s="38" t="n">
        <v>0</v>
      </c>
      <c r="H37" s="38" t="n">
        <v>0</v>
      </c>
      <c r="I37" s="43" t="n">
        <f aca="false">F37*$E37</f>
        <v>30000</v>
      </c>
      <c r="J37" s="43" t="n">
        <f aca="false">G37*$E37</f>
        <v>0</v>
      </c>
      <c r="K37" s="43" t="n">
        <f aca="false">H37*$E37</f>
        <v>0</v>
      </c>
      <c r="L37" s="43" t="n">
        <f aca="false">F37*(1-$E37)</f>
        <v>0</v>
      </c>
      <c r="M37" s="43" t="n">
        <f aca="false">G37*(1-$E37)</f>
        <v>0</v>
      </c>
      <c r="N37" s="43" t="n">
        <f aca="false">H37*(1-$E37)</f>
        <v>0</v>
      </c>
      <c r="O37" s="21"/>
    </row>
    <row r="38" customFormat="false" ht="15" hidden="false" customHeight="false" outlineLevel="0" collapsed="false">
      <c r="A38" s="32" t="s">
        <v>1233</v>
      </c>
      <c r="B38" s="32" t="s">
        <v>263</v>
      </c>
      <c r="C38" s="21" t="s">
        <v>264</v>
      </c>
      <c r="D38" s="32" t="s">
        <v>1228</v>
      </c>
      <c r="E38" s="37" t="n">
        <v>1</v>
      </c>
      <c r="F38" s="38" t="n">
        <v>11250</v>
      </c>
      <c r="G38" s="38" t="n">
        <v>15000</v>
      </c>
      <c r="H38" s="38" t="n">
        <v>15000</v>
      </c>
      <c r="I38" s="43" t="n">
        <f aca="false">F38*$E38</f>
        <v>11250</v>
      </c>
      <c r="J38" s="43" t="n">
        <f aca="false">G38*$E38</f>
        <v>15000</v>
      </c>
      <c r="K38" s="43" t="n">
        <f aca="false">H38*$E38</f>
        <v>15000</v>
      </c>
      <c r="L38" s="43" t="n">
        <f aca="false">F38*(1-$E38)</f>
        <v>0</v>
      </c>
      <c r="M38" s="43" t="n">
        <f aca="false">G38*(1-$E38)</f>
        <v>0</v>
      </c>
      <c r="N38" s="43" t="n">
        <f aca="false">H38*(1-$E38)</f>
        <v>0</v>
      </c>
      <c r="O38" s="21"/>
    </row>
    <row r="39" customFormat="false" ht="23.85" hidden="false" customHeight="false" outlineLevel="0" collapsed="false">
      <c r="A39" s="32" t="s">
        <v>1231</v>
      </c>
      <c r="B39" s="32" t="s">
        <v>267</v>
      </c>
      <c r="C39" s="21" t="s">
        <v>268</v>
      </c>
      <c r="D39" s="32" t="s">
        <v>1232</v>
      </c>
      <c r="E39" s="37" t="n">
        <v>0.3</v>
      </c>
      <c r="F39" s="38" t="n">
        <v>80000</v>
      </c>
      <c r="G39" s="38" t="n">
        <v>0</v>
      </c>
      <c r="H39" s="38" t="n">
        <v>0</v>
      </c>
      <c r="I39" s="43" t="n">
        <f aca="false">F39*$E39</f>
        <v>24000</v>
      </c>
      <c r="J39" s="43" t="n">
        <f aca="false">G39*$E39</f>
        <v>0</v>
      </c>
      <c r="K39" s="43" t="n">
        <f aca="false">H39*$E39</f>
        <v>0</v>
      </c>
      <c r="L39" s="43" t="n">
        <f aca="false">F39*(1-$E39)</f>
        <v>56000</v>
      </c>
      <c r="M39" s="43" t="n">
        <f aca="false">G39*(1-$E39)</f>
        <v>0</v>
      </c>
      <c r="N39" s="43" t="n">
        <f aca="false">H39*(1-$E39)</f>
        <v>0</v>
      </c>
      <c r="O39" s="21" t="s">
        <v>1241</v>
      </c>
    </row>
    <row r="40" customFormat="false" ht="23.85" hidden="false" customHeight="false" outlineLevel="0" collapsed="false">
      <c r="A40" s="32" t="s">
        <v>1233</v>
      </c>
      <c r="B40" s="32" t="s">
        <v>267</v>
      </c>
      <c r="C40" s="21" t="s">
        <v>268</v>
      </c>
      <c r="D40" s="32" t="s">
        <v>1228</v>
      </c>
      <c r="E40" s="37" t="n">
        <v>0.3</v>
      </c>
      <c r="F40" s="38" t="n">
        <v>12500</v>
      </c>
      <c r="G40" s="38" t="n">
        <v>50000</v>
      </c>
      <c r="H40" s="38" t="n">
        <v>50000</v>
      </c>
      <c r="I40" s="43" t="n">
        <f aca="false">F40*$E40</f>
        <v>3750</v>
      </c>
      <c r="J40" s="43" t="n">
        <f aca="false">G40*$E40</f>
        <v>15000</v>
      </c>
      <c r="K40" s="43" t="n">
        <f aca="false">H40*$E40</f>
        <v>15000</v>
      </c>
      <c r="L40" s="43" t="n">
        <f aca="false">F40*(1-$E40)</f>
        <v>8750</v>
      </c>
      <c r="M40" s="43" t="n">
        <f aca="false">G40*(1-$E40)</f>
        <v>35000</v>
      </c>
      <c r="N40" s="43" t="n">
        <f aca="false">H40*(1-$E40)</f>
        <v>35000</v>
      </c>
      <c r="O40" s="21" t="s">
        <v>1241</v>
      </c>
    </row>
    <row r="41" customFormat="false" ht="15" hidden="false" customHeight="false" outlineLevel="0" collapsed="false">
      <c r="A41" s="32" t="s">
        <v>1231</v>
      </c>
      <c r="B41" s="32" t="s">
        <v>271</v>
      </c>
      <c r="C41" s="21" t="s">
        <v>272</v>
      </c>
      <c r="D41" s="32" t="s">
        <v>1232</v>
      </c>
      <c r="E41" s="37" t="n">
        <v>0</v>
      </c>
      <c r="F41" s="38" t="n">
        <v>150000</v>
      </c>
      <c r="G41" s="38" t="n">
        <v>200000</v>
      </c>
      <c r="H41" s="38" t="n">
        <v>0</v>
      </c>
      <c r="I41" s="43" t="n">
        <f aca="false">F41*$E41</f>
        <v>0</v>
      </c>
      <c r="J41" s="43" t="n">
        <f aca="false">G41*$E41</f>
        <v>0</v>
      </c>
      <c r="K41" s="43" t="n">
        <f aca="false">H41*$E41</f>
        <v>0</v>
      </c>
      <c r="L41" s="43" t="n">
        <f aca="false">F41*(1-$E41)</f>
        <v>150000</v>
      </c>
      <c r="M41" s="43" t="n">
        <f aca="false">G41*(1-$E41)</f>
        <v>200000</v>
      </c>
      <c r="N41" s="43" t="n">
        <f aca="false">H41*(1-$E41)</f>
        <v>0</v>
      </c>
      <c r="O41" s="21" t="s">
        <v>1242</v>
      </c>
    </row>
    <row r="42" customFormat="false" ht="15" hidden="false" customHeight="false" outlineLevel="0" collapsed="false">
      <c r="A42" s="32" t="s">
        <v>1233</v>
      </c>
      <c r="B42" s="32" t="s">
        <v>271</v>
      </c>
      <c r="C42" s="21" t="s">
        <v>272</v>
      </c>
      <c r="D42" s="32" t="s">
        <v>1228</v>
      </c>
      <c r="E42" s="37" t="n">
        <v>0</v>
      </c>
      <c r="F42" s="38" t="n">
        <v>0</v>
      </c>
      <c r="G42" s="38" t="n">
        <v>40000</v>
      </c>
      <c r="H42" s="38" t="n">
        <v>120000</v>
      </c>
      <c r="I42" s="43" t="n">
        <f aca="false">F42*$E42</f>
        <v>0</v>
      </c>
      <c r="J42" s="43" t="n">
        <f aca="false">G42*$E42</f>
        <v>0</v>
      </c>
      <c r="K42" s="43" t="n">
        <f aca="false">H42*$E42</f>
        <v>0</v>
      </c>
      <c r="L42" s="43" t="n">
        <f aca="false">F42*(1-$E42)</f>
        <v>0</v>
      </c>
      <c r="M42" s="43" t="n">
        <f aca="false">G42*(1-$E42)</f>
        <v>40000</v>
      </c>
      <c r="N42" s="43" t="n">
        <f aca="false">H42*(1-$E42)</f>
        <v>120000</v>
      </c>
      <c r="O42" s="21" t="s">
        <v>1242</v>
      </c>
    </row>
    <row r="43" customFormat="false" ht="23.85" hidden="false" customHeight="false" outlineLevel="0" collapsed="false">
      <c r="A43" s="32" t="s">
        <v>1231</v>
      </c>
      <c r="B43" s="32" t="s">
        <v>276</v>
      </c>
      <c r="C43" s="21" t="s">
        <v>277</v>
      </c>
      <c r="D43" s="32" t="s">
        <v>1232</v>
      </c>
      <c r="E43" s="37" t="n">
        <v>0.5</v>
      </c>
      <c r="F43" s="38" t="n">
        <v>120000</v>
      </c>
      <c r="G43" s="38" t="n">
        <v>0</v>
      </c>
      <c r="H43" s="38" t="n">
        <v>0</v>
      </c>
      <c r="I43" s="43" t="n">
        <f aca="false">F43*$E43</f>
        <v>60000</v>
      </c>
      <c r="J43" s="43" t="n">
        <f aca="false">G43*$E43</f>
        <v>0</v>
      </c>
      <c r="K43" s="43" t="n">
        <f aca="false">H43*$E43</f>
        <v>0</v>
      </c>
      <c r="L43" s="43" t="n">
        <f aca="false">F43*(1-$E43)</f>
        <v>60000</v>
      </c>
      <c r="M43" s="43" t="n">
        <f aca="false">G43*(1-$E43)</f>
        <v>0</v>
      </c>
      <c r="N43" s="43" t="n">
        <f aca="false">H43*(1-$E43)</f>
        <v>0</v>
      </c>
      <c r="O43" s="21" t="s">
        <v>1243</v>
      </c>
    </row>
    <row r="44" customFormat="false" ht="23.85" hidden="false" customHeight="false" outlineLevel="0" collapsed="false">
      <c r="A44" s="32" t="s">
        <v>1233</v>
      </c>
      <c r="B44" s="32" t="s">
        <v>276</v>
      </c>
      <c r="C44" s="21" t="s">
        <v>277</v>
      </c>
      <c r="D44" s="32" t="s">
        <v>1228</v>
      </c>
      <c r="E44" s="37" t="n">
        <v>0.5</v>
      </c>
      <c r="F44" s="38" t="n">
        <v>0</v>
      </c>
      <c r="G44" s="38" t="n">
        <v>40000</v>
      </c>
      <c r="H44" s="38" t="n">
        <v>40000</v>
      </c>
      <c r="I44" s="43" t="n">
        <f aca="false">F44*$E44</f>
        <v>0</v>
      </c>
      <c r="J44" s="43" t="n">
        <f aca="false">G44*$E44</f>
        <v>20000</v>
      </c>
      <c r="K44" s="43" t="n">
        <f aca="false">H44*$E44</f>
        <v>20000</v>
      </c>
      <c r="L44" s="43" t="n">
        <f aca="false">F44*(1-$E44)</f>
        <v>0</v>
      </c>
      <c r="M44" s="43" t="n">
        <f aca="false">G44*(1-$E44)</f>
        <v>20000</v>
      </c>
      <c r="N44" s="43" t="n">
        <f aca="false">H44*(1-$E44)</f>
        <v>20000</v>
      </c>
      <c r="O44" s="21" t="s">
        <v>1243</v>
      </c>
    </row>
    <row r="45" customFormat="false" ht="15" hidden="false" customHeight="false" outlineLevel="0" collapsed="false">
      <c r="A45" s="32" t="s">
        <v>1231</v>
      </c>
      <c r="B45" s="32" t="s">
        <v>279</v>
      </c>
      <c r="C45" s="21" t="s">
        <v>280</v>
      </c>
      <c r="D45" s="32" t="s">
        <v>1232</v>
      </c>
      <c r="E45" s="37" t="n">
        <v>0.5</v>
      </c>
      <c r="F45" s="38" t="n">
        <v>60000</v>
      </c>
      <c r="G45" s="38" t="n">
        <v>0</v>
      </c>
      <c r="H45" s="38" t="n">
        <v>0</v>
      </c>
      <c r="I45" s="43" t="n">
        <f aca="false">F45*$E45</f>
        <v>30000</v>
      </c>
      <c r="J45" s="43" t="n">
        <f aca="false">G45*$E45</f>
        <v>0</v>
      </c>
      <c r="K45" s="43" t="n">
        <f aca="false">H45*$E45</f>
        <v>0</v>
      </c>
      <c r="L45" s="43" t="n">
        <f aca="false">F45*(1-$E45)</f>
        <v>30000</v>
      </c>
      <c r="M45" s="43" t="n">
        <f aca="false">G45*(1-$E45)</f>
        <v>0</v>
      </c>
      <c r="N45" s="43" t="n">
        <f aca="false">H45*(1-$E45)</f>
        <v>0</v>
      </c>
      <c r="O45" s="21" t="s">
        <v>1244</v>
      </c>
    </row>
    <row r="46" customFormat="false" ht="15" hidden="false" customHeight="false" outlineLevel="0" collapsed="false">
      <c r="A46" s="32" t="s">
        <v>1233</v>
      </c>
      <c r="B46" s="32" t="s">
        <v>279</v>
      </c>
      <c r="C46" s="21" t="s">
        <v>280</v>
      </c>
      <c r="D46" s="32" t="s">
        <v>1228</v>
      </c>
      <c r="E46" s="37" t="n">
        <v>0.5</v>
      </c>
      <c r="F46" s="38" t="n">
        <v>20000</v>
      </c>
      <c r="G46" s="38" t="n">
        <v>40000</v>
      </c>
      <c r="H46" s="38" t="n">
        <v>40000</v>
      </c>
      <c r="I46" s="43" t="n">
        <f aca="false">F46*$E46</f>
        <v>10000</v>
      </c>
      <c r="J46" s="43" t="n">
        <f aca="false">G46*$E46</f>
        <v>20000</v>
      </c>
      <c r="K46" s="43" t="n">
        <f aca="false">H46*$E46</f>
        <v>20000</v>
      </c>
      <c r="L46" s="43" t="n">
        <f aca="false">F46*(1-$E46)</f>
        <v>10000</v>
      </c>
      <c r="M46" s="43" t="n">
        <f aca="false">G46*(1-$E46)</f>
        <v>20000</v>
      </c>
      <c r="N46" s="43" t="n">
        <f aca="false">H46*(1-$E46)</f>
        <v>20000</v>
      </c>
      <c r="O46" s="21" t="s">
        <v>1244</v>
      </c>
    </row>
    <row r="47" customFormat="false" ht="15" hidden="false" customHeight="false" outlineLevel="0" collapsed="false">
      <c r="A47" s="32" t="s">
        <v>1231</v>
      </c>
      <c r="B47" s="32" t="s">
        <v>284</v>
      </c>
      <c r="C47" s="21" t="s">
        <v>285</v>
      </c>
      <c r="D47" s="32" t="s">
        <v>1232</v>
      </c>
      <c r="E47" s="37" t="n">
        <v>0.5</v>
      </c>
      <c r="F47" s="38" t="n">
        <v>25000</v>
      </c>
      <c r="G47" s="38" t="n">
        <v>0</v>
      </c>
      <c r="H47" s="38" t="n">
        <v>0</v>
      </c>
      <c r="I47" s="43" t="n">
        <f aca="false">F47*$E47</f>
        <v>12500</v>
      </c>
      <c r="J47" s="43" t="n">
        <f aca="false">G47*$E47</f>
        <v>0</v>
      </c>
      <c r="K47" s="43" t="n">
        <f aca="false">H47*$E47</f>
        <v>0</v>
      </c>
      <c r="L47" s="43" t="n">
        <f aca="false">F47*(1-$E47)</f>
        <v>12500</v>
      </c>
      <c r="M47" s="43" t="n">
        <f aca="false">G47*(1-$E47)</f>
        <v>0</v>
      </c>
      <c r="N47" s="43" t="n">
        <f aca="false">H47*(1-$E47)</f>
        <v>0</v>
      </c>
      <c r="O47" s="21" t="s">
        <v>1245</v>
      </c>
    </row>
    <row r="48" customFormat="false" ht="15" hidden="false" customHeight="false" outlineLevel="0" collapsed="false">
      <c r="A48" s="32" t="s">
        <v>1233</v>
      </c>
      <c r="B48" s="32" t="s">
        <v>284</v>
      </c>
      <c r="C48" s="21" t="s">
        <v>285</v>
      </c>
      <c r="D48" s="32" t="s">
        <v>1228</v>
      </c>
      <c r="E48" s="37" t="n">
        <v>0.5</v>
      </c>
      <c r="F48" s="38" t="n">
        <v>8333.33333333333</v>
      </c>
      <c r="G48" s="38" t="n">
        <v>10000</v>
      </c>
      <c r="H48" s="38" t="n">
        <v>10000</v>
      </c>
      <c r="I48" s="43" t="n">
        <f aca="false">F48*$E48</f>
        <v>4166.66666666667</v>
      </c>
      <c r="J48" s="43" t="n">
        <f aca="false">G48*$E48</f>
        <v>5000</v>
      </c>
      <c r="K48" s="43" t="n">
        <f aca="false">H48*$E48</f>
        <v>5000</v>
      </c>
      <c r="L48" s="43" t="n">
        <f aca="false">F48*(1-$E48)</f>
        <v>4166.66666666667</v>
      </c>
      <c r="M48" s="43" t="n">
        <f aca="false">G48*(1-$E48)</f>
        <v>5000</v>
      </c>
      <c r="N48" s="43" t="n">
        <f aca="false">H48*(1-$E48)</f>
        <v>5000</v>
      </c>
      <c r="O48" s="21" t="s">
        <v>1245</v>
      </c>
    </row>
    <row r="49" customFormat="false" ht="23.85" hidden="false" customHeight="false" outlineLevel="0" collapsed="false">
      <c r="A49" s="32" t="s">
        <v>1231</v>
      </c>
      <c r="B49" s="32" t="s">
        <v>287</v>
      </c>
      <c r="C49" s="21" t="s">
        <v>288</v>
      </c>
      <c r="D49" s="32" t="s">
        <v>1232</v>
      </c>
      <c r="E49" s="37" t="n">
        <v>0.3</v>
      </c>
      <c r="F49" s="38" t="n">
        <v>110000</v>
      </c>
      <c r="G49" s="38" t="n">
        <v>0</v>
      </c>
      <c r="H49" s="38" t="n">
        <v>0</v>
      </c>
      <c r="I49" s="43" t="n">
        <f aca="false">F49*$E49</f>
        <v>33000</v>
      </c>
      <c r="J49" s="43" t="n">
        <f aca="false">G49*$E49</f>
        <v>0</v>
      </c>
      <c r="K49" s="43" t="n">
        <f aca="false">H49*$E49</f>
        <v>0</v>
      </c>
      <c r="L49" s="43" t="n">
        <f aca="false">F49*(1-$E49)</f>
        <v>77000</v>
      </c>
      <c r="M49" s="43" t="n">
        <f aca="false">G49*(1-$E49)</f>
        <v>0</v>
      </c>
      <c r="N49" s="43" t="n">
        <f aca="false">H49*(1-$E49)</f>
        <v>0</v>
      </c>
      <c r="O49" s="21" t="s">
        <v>1246</v>
      </c>
    </row>
    <row r="50" customFormat="false" ht="23.85" hidden="false" customHeight="false" outlineLevel="0" collapsed="false">
      <c r="A50" s="32" t="s">
        <v>1233</v>
      </c>
      <c r="B50" s="32" t="s">
        <v>287</v>
      </c>
      <c r="C50" s="21" t="s">
        <v>288</v>
      </c>
      <c r="D50" s="32" t="s">
        <v>1228</v>
      </c>
      <c r="E50" s="37" t="n">
        <v>0.3</v>
      </c>
      <c r="F50" s="38" t="n">
        <v>0</v>
      </c>
      <c r="G50" s="38" t="n">
        <v>30000</v>
      </c>
      <c r="H50" s="38" t="n">
        <v>30000</v>
      </c>
      <c r="I50" s="43" t="n">
        <f aca="false">F50*$E50</f>
        <v>0</v>
      </c>
      <c r="J50" s="43" t="n">
        <f aca="false">G50*$E50</f>
        <v>9000</v>
      </c>
      <c r="K50" s="43" t="n">
        <f aca="false">H50*$E50</f>
        <v>9000</v>
      </c>
      <c r="L50" s="43" t="n">
        <f aca="false">F50*(1-$E50)</f>
        <v>0</v>
      </c>
      <c r="M50" s="43" t="n">
        <f aca="false">G50*(1-$E50)</f>
        <v>21000</v>
      </c>
      <c r="N50" s="43" t="n">
        <f aca="false">H50*(1-$E50)</f>
        <v>21000</v>
      </c>
      <c r="O50" s="21" t="s">
        <v>1246</v>
      </c>
    </row>
    <row r="51" customFormat="false" ht="15" hidden="false" customHeight="false" outlineLevel="0" collapsed="false">
      <c r="A51" s="32" t="s">
        <v>1231</v>
      </c>
      <c r="B51" s="32" t="s">
        <v>291</v>
      </c>
      <c r="C51" s="21" t="s">
        <v>292</v>
      </c>
      <c r="D51" s="32" t="s">
        <v>1232</v>
      </c>
      <c r="E51" s="37" t="n">
        <v>1</v>
      </c>
      <c r="F51" s="38" t="n">
        <v>25000</v>
      </c>
      <c r="G51" s="38" t="n">
        <v>0</v>
      </c>
      <c r="H51" s="38" t="n">
        <v>0</v>
      </c>
      <c r="I51" s="43" t="n">
        <f aca="false">F51*$E51</f>
        <v>25000</v>
      </c>
      <c r="J51" s="43" t="n">
        <f aca="false">G51*$E51</f>
        <v>0</v>
      </c>
      <c r="K51" s="43" t="n">
        <f aca="false">H51*$E51</f>
        <v>0</v>
      </c>
      <c r="L51" s="43" t="n">
        <f aca="false">F51*(1-$E51)</f>
        <v>0</v>
      </c>
      <c r="M51" s="43" t="n">
        <f aca="false">G51*(1-$E51)</f>
        <v>0</v>
      </c>
      <c r="N51" s="43" t="n">
        <f aca="false">H51*(1-$E51)</f>
        <v>0</v>
      </c>
      <c r="O51" s="21"/>
    </row>
    <row r="52" customFormat="false" ht="15" hidden="false" customHeight="false" outlineLevel="0" collapsed="false">
      <c r="A52" s="32" t="s">
        <v>1233</v>
      </c>
      <c r="B52" s="32" t="s">
        <v>291</v>
      </c>
      <c r="C52" s="21" t="s">
        <v>292</v>
      </c>
      <c r="D52" s="32" t="s">
        <v>1228</v>
      </c>
      <c r="E52" s="37" t="n">
        <v>1</v>
      </c>
      <c r="F52" s="38" t="n">
        <v>22500</v>
      </c>
      <c r="G52" s="38" t="n">
        <v>30000</v>
      </c>
      <c r="H52" s="38" t="n">
        <v>30000</v>
      </c>
      <c r="I52" s="43" t="n">
        <f aca="false">F52*$E52</f>
        <v>22500</v>
      </c>
      <c r="J52" s="43" t="n">
        <f aca="false">G52*$E52</f>
        <v>30000</v>
      </c>
      <c r="K52" s="43" t="n">
        <f aca="false">H52*$E52</f>
        <v>30000</v>
      </c>
      <c r="L52" s="43" t="n">
        <f aca="false">F52*(1-$E52)</f>
        <v>0</v>
      </c>
      <c r="M52" s="43" t="n">
        <f aca="false">G52*(1-$E52)</f>
        <v>0</v>
      </c>
      <c r="N52" s="43" t="n">
        <f aca="false">H52*(1-$E52)</f>
        <v>0</v>
      </c>
      <c r="O52" s="21"/>
    </row>
    <row r="53" customFormat="false" ht="15" hidden="false" customHeight="false" outlineLevel="0" collapsed="false">
      <c r="A53" s="32" t="s">
        <v>1247</v>
      </c>
      <c r="B53" s="32" t="s">
        <v>1248</v>
      </c>
      <c r="C53" s="21" t="s">
        <v>1249</v>
      </c>
      <c r="D53" s="32" t="s">
        <v>1228</v>
      </c>
      <c r="E53" s="37" t="n">
        <v>1</v>
      </c>
      <c r="F53" s="38" t="n">
        <v>117000</v>
      </c>
      <c r="G53" s="38" t="n">
        <v>156000</v>
      </c>
      <c r="H53" s="38" t="n">
        <v>156000</v>
      </c>
      <c r="I53" s="43" t="n">
        <f aca="false">F53*$E53</f>
        <v>117000</v>
      </c>
      <c r="J53" s="43" t="n">
        <f aca="false">G53*$E53</f>
        <v>156000</v>
      </c>
      <c r="K53" s="43" t="n">
        <f aca="false">H53*$E53</f>
        <v>156000</v>
      </c>
      <c r="L53" s="43" t="n">
        <f aca="false">F53*(1-$E53)</f>
        <v>0</v>
      </c>
      <c r="M53" s="43" t="n">
        <f aca="false">G53*(1-$E53)</f>
        <v>0</v>
      </c>
      <c r="N53" s="43" t="n">
        <f aca="false">H53*(1-$E53)</f>
        <v>0</v>
      </c>
      <c r="O53" s="21"/>
    </row>
    <row r="54" customFormat="false" ht="15" hidden="false" customHeight="false" outlineLevel="0" collapsed="false">
      <c r="A54" s="32" t="s">
        <v>1247</v>
      </c>
      <c r="B54" s="32" t="s">
        <v>1250</v>
      </c>
      <c r="C54" s="21" t="s">
        <v>1251</v>
      </c>
      <c r="D54" s="32" t="s">
        <v>1228</v>
      </c>
      <c r="E54" s="37" t="n">
        <v>1</v>
      </c>
      <c r="F54" s="38" t="n">
        <v>78000</v>
      </c>
      <c r="G54" s="38" t="n">
        <v>156000</v>
      </c>
      <c r="H54" s="38" t="n">
        <v>156000</v>
      </c>
      <c r="I54" s="43" t="n">
        <f aca="false">F54*$E54</f>
        <v>78000</v>
      </c>
      <c r="J54" s="43" t="n">
        <f aca="false">G54*$E54</f>
        <v>156000</v>
      </c>
      <c r="K54" s="43" t="n">
        <f aca="false">H54*$E54</f>
        <v>156000</v>
      </c>
      <c r="L54" s="43" t="n">
        <f aca="false">F54*(1-$E54)</f>
        <v>0</v>
      </c>
      <c r="M54" s="43" t="n">
        <f aca="false">G54*(1-$E54)</f>
        <v>0</v>
      </c>
      <c r="N54" s="43" t="n">
        <f aca="false">H54*(1-$E54)</f>
        <v>0</v>
      </c>
      <c r="O54" s="21"/>
    </row>
    <row r="55" customFormat="false" ht="15" hidden="false" customHeight="false" outlineLevel="0" collapsed="false">
      <c r="A55" s="32" t="s">
        <v>1247</v>
      </c>
      <c r="B55" s="32" t="s">
        <v>1252</v>
      </c>
      <c r="C55" s="21" t="s">
        <v>1253</v>
      </c>
      <c r="D55" s="32" t="s">
        <v>1228</v>
      </c>
      <c r="E55" s="37" t="n">
        <v>1</v>
      </c>
      <c r="F55" s="38" t="n">
        <v>78000</v>
      </c>
      <c r="G55" s="38" t="n">
        <v>156000</v>
      </c>
      <c r="H55" s="38" t="n">
        <v>156000</v>
      </c>
      <c r="I55" s="43" t="n">
        <f aca="false">F55*$E55</f>
        <v>78000</v>
      </c>
      <c r="J55" s="43" t="n">
        <f aca="false">G55*$E55</f>
        <v>156000</v>
      </c>
      <c r="K55" s="43" t="n">
        <f aca="false">H55*$E55</f>
        <v>156000</v>
      </c>
      <c r="L55" s="43" t="n">
        <f aca="false">F55*(1-$E55)</f>
        <v>0</v>
      </c>
      <c r="M55" s="43" t="n">
        <f aca="false">G55*(1-$E55)</f>
        <v>0</v>
      </c>
      <c r="N55" s="43" t="n">
        <f aca="false">H55*(1-$E55)</f>
        <v>0</v>
      </c>
      <c r="O55" s="21"/>
    </row>
    <row r="56" customFormat="false" ht="15" hidden="false" customHeight="false" outlineLevel="0" collapsed="false">
      <c r="A56" s="32" t="s">
        <v>1247</v>
      </c>
      <c r="B56" s="32" t="s">
        <v>1254</v>
      </c>
      <c r="C56" s="21" t="s">
        <v>1255</v>
      </c>
      <c r="D56" s="32" t="s">
        <v>1228</v>
      </c>
      <c r="E56" s="37" t="n">
        <v>1</v>
      </c>
      <c r="F56" s="38" t="n">
        <v>0</v>
      </c>
      <c r="G56" s="38" t="n">
        <v>156000</v>
      </c>
      <c r="H56" s="38" t="n">
        <v>156000</v>
      </c>
      <c r="I56" s="43" t="n">
        <f aca="false">F56*$E56</f>
        <v>0</v>
      </c>
      <c r="J56" s="43" t="n">
        <f aca="false">G56*$E56</f>
        <v>156000</v>
      </c>
      <c r="K56" s="43" t="n">
        <f aca="false">H56*$E56</f>
        <v>156000</v>
      </c>
      <c r="L56" s="43" t="n">
        <f aca="false">F56*(1-$E56)</f>
        <v>0</v>
      </c>
      <c r="M56" s="43" t="n">
        <f aca="false">G56*(1-$E56)</f>
        <v>0</v>
      </c>
      <c r="N56" s="43" t="n">
        <f aca="false">H56*(1-$E56)</f>
        <v>0</v>
      </c>
      <c r="O56" s="21"/>
    </row>
    <row r="57" customFormat="false" ht="15" hidden="false" customHeight="false" outlineLevel="0" collapsed="false">
      <c r="A57" s="32" t="s">
        <v>1247</v>
      </c>
      <c r="B57" s="32" t="s">
        <v>1256</v>
      </c>
      <c r="C57" s="21" t="s">
        <v>1257</v>
      </c>
      <c r="D57" s="32" t="s">
        <v>1228</v>
      </c>
      <c r="E57" s="37" t="n">
        <v>1</v>
      </c>
      <c r="F57" s="38" t="n">
        <v>0</v>
      </c>
      <c r="G57" s="38" t="n">
        <v>156000</v>
      </c>
      <c r="H57" s="38" t="n">
        <v>156000</v>
      </c>
      <c r="I57" s="43" t="n">
        <f aca="false">F57*$E57</f>
        <v>0</v>
      </c>
      <c r="J57" s="43" t="n">
        <f aca="false">G57*$E57</f>
        <v>156000</v>
      </c>
      <c r="K57" s="43" t="n">
        <f aca="false">H57*$E57</f>
        <v>156000</v>
      </c>
      <c r="L57" s="43" t="n">
        <f aca="false">F57*(1-$E57)</f>
        <v>0</v>
      </c>
      <c r="M57" s="43" t="n">
        <f aca="false">G57*(1-$E57)</f>
        <v>0</v>
      </c>
      <c r="N57" s="43" t="n">
        <f aca="false">H57*(1-$E57)</f>
        <v>0</v>
      </c>
      <c r="O57" s="21"/>
    </row>
    <row r="58" customFormat="false" ht="15" hidden="false" customHeight="false" outlineLevel="0" collapsed="false">
      <c r="A58" s="32" t="s">
        <v>1258</v>
      </c>
      <c r="B58" s="32" t="s">
        <v>1259</v>
      </c>
      <c r="C58" s="21" t="s">
        <v>1260</v>
      </c>
      <c r="D58" s="32" t="s">
        <v>1232</v>
      </c>
      <c r="E58" s="37" t="n">
        <v>1</v>
      </c>
      <c r="F58" s="38" t="n">
        <v>0</v>
      </c>
      <c r="G58" s="38" t="n">
        <v>400000</v>
      </c>
      <c r="H58" s="38" t="n">
        <v>0</v>
      </c>
      <c r="I58" s="43" t="n">
        <f aca="false">F58*$E58</f>
        <v>0</v>
      </c>
      <c r="J58" s="43" t="n">
        <f aca="false">G58*$E58</f>
        <v>400000</v>
      </c>
      <c r="K58" s="43" t="n">
        <f aca="false">H58*$E58</f>
        <v>0</v>
      </c>
      <c r="L58" s="43" t="n">
        <f aca="false">F58*(1-$E58)</f>
        <v>0</v>
      </c>
      <c r="M58" s="43" t="n">
        <f aca="false">G58*(1-$E58)</f>
        <v>0</v>
      </c>
      <c r="N58" s="43" t="n">
        <f aca="false">H58*(1-$E58)</f>
        <v>0</v>
      </c>
      <c r="O58" s="21"/>
    </row>
    <row r="59" customFormat="false" ht="15" hidden="false" customHeight="false" outlineLevel="0" collapsed="false">
      <c r="A59" s="32" t="s">
        <v>1261</v>
      </c>
      <c r="B59" s="32" t="s">
        <v>1259</v>
      </c>
      <c r="C59" s="21" t="s">
        <v>1260</v>
      </c>
      <c r="D59" s="32" t="s">
        <v>1228</v>
      </c>
      <c r="E59" s="37" t="n">
        <v>1</v>
      </c>
      <c r="F59" s="38" t="n">
        <v>0</v>
      </c>
      <c r="G59" s="38" t="n">
        <v>0</v>
      </c>
      <c r="H59" s="38" t="n">
        <v>150000</v>
      </c>
      <c r="I59" s="43" t="n">
        <f aca="false">F59*$E59</f>
        <v>0</v>
      </c>
      <c r="J59" s="43" t="n">
        <f aca="false">G59*$E59</f>
        <v>0</v>
      </c>
      <c r="K59" s="43" t="n">
        <f aca="false">H59*$E59</f>
        <v>150000</v>
      </c>
      <c r="L59" s="43" t="n">
        <f aca="false">F59*(1-$E59)</f>
        <v>0</v>
      </c>
      <c r="M59" s="43" t="n">
        <f aca="false">G59*(1-$E59)</f>
        <v>0</v>
      </c>
      <c r="N59" s="43" t="n">
        <f aca="false">H59*(1-$E59)</f>
        <v>0</v>
      </c>
      <c r="O59" s="21"/>
    </row>
    <row r="60" customFormat="false" ht="15" hidden="false" customHeight="false" outlineLevel="0" collapsed="false">
      <c r="A60" s="32" t="s">
        <v>1258</v>
      </c>
      <c r="B60" s="32" t="s">
        <v>1262</v>
      </c>
      <c r="C60" s="21" t="s">
        <v>1263</v>
      </c>
      <c r="D60" s="32" t="s">
        <v>1232</v>
      </c>
      <c r="E60" s="37" t="n">
        <v>1</v>
      </c>
      <c r="F60" s="38" t="n">
        <v>100000</v>
      </c>
      <c r="G60" s="38" t="n">
        <v>200000</v>
      </c>
      <c r="H60" s="38" t="n">
        <v>0</v>
      </c>
      <c r="I60" s="43" t="n">
        <f aca="false">F60*$E60</f>
        <v>100000</v>
      </c>
      <c r="J60" s="43" t="n">
        <f aca="false">G60*$E60</f>
        <v>200000</v>
      </c>
      <c r="K60" s="43" t="n">
        <f aca="false">H60*$E60</f>
        <v>0</v>
      </c>
      <c r="L60" s="43" t="n">
        <f aca="false">F60*(1-$E60)</f>
        <v>0</v>
      </c>
      <c r="M60" s="43" t="n">
        <f aca="false">G60*(1-$E60)</f>
        <v>0</v>
      </c>
      <c r="N60" s="43" t="n">
        <f aca="false">H60*(1-$E60)</f>
        <v>0</v>
      </c>
      <c r="O60" s="21"/>
    </row>
    <row r="61" customFormat="false" ht="15" hidden="false" customHeight="false" outlineLevel="0" collapsed="false">
      <c r="A61" s="32" t="s">
        <v>1261</v>
      </c>
      <c r="B61" s="32" t="s">
        <v>1262</v>
      </c>
      <c r="C61" s="21" t="s">
        <v>1263</v>
      </c>
      <c r="D61" s="32" t="s">
        <v>1228</v>
      </c>
      <c r="E61" s="37" t="n">
        <v>1</v>
      </c>
      <c r="F61" s="38" t="n">
        <v>0</v>
      </c>
      <c r="G61" s="38" t="n">
        <v>50000</v>
      </c>
      <c r="H61" s="38" t="n">
        <v>100000</v>
      </c>
      <c r="I61" s="43" t="n">
        <f aca="false">F61*$E61</f>
        <v>0</v>
      </c>
      <c r="J61" s="43" t="n">
        <f aca="false">G61*$E61</f>
        <v>50000</v>
      </c>
      <c r="K61" s="43" t="n">
        <f aca="false">H61*$E61</f>
        <v>100000</v>
      </c>
      <c r="L61" s="43" t="n">
        <f aca="false">F61*(1-$E61)</f>
        <v>0</v>
      </c>
      <c r="M61" s="43" t="n">
        <f aca="false">G61*(1-$E61)</f>
        <v>0</v>
      </c>
      <c r="N61" s="43" t="n">
        <f aca="false">H61*(1-$E61)</f>
        <v>0</v>
      </c>
      <c r="O61" s="21"/>
    </row>
    <row r="62" customFormat="false" ht="15" hidden="false" customHeight="false" outlineLevel="0" collapsed="false">
      <c r="A62" s="32" t="s">
        <v>1258</v>
      </c>
      <c r="B62" s="32" t="s">
        <v>1264</v>
      </c>
      <c r="C62" s="21" t="s">
        <v>1265</v>
      </c>
      <c r="D62" s="32" t="s">
        <v>1232</v>
      </c>
      <c r="E62" s="37" t="n">
        <v>1</v>
      </c>
      <c r="F62" s="38" t="n">
        <v>75000</v>
      </c>
      <c r="G62" s="38" t="n">
        <v>75000</v>
      </c>
      <c r="H62" s="38" t="n">
        <v>0</v>
      </c>
      <c r="I62" s="43" t="n">
        <f aca="false">F62*$E62</f>
        <v>75000</v>
      </c>
      <c r="J62" s="43" t="n">
        <f aca="false">G62*$E62</f>
        <v>75000</v>
      </c>
      <c r="K62" s="43" t="n">
        <f aca="false">H62*$E62</f>
        <v>0</v>
      </c>
      <c r="L62" s="43" t="n">
        <f aca="false">F62*(1-$E62)</f>
        <v>0</v>
      </c>
      <c r="M62" s="43" t="n">
        <f aca="false">G62*(1-$E62)</f>
        <v>0</v>
      </c>
      <c r="N62" s="43" t="n">
        <f aca="false">H62*(1-$E62)</f>
        <v>0</v>
      </c>
      <c r="O62" s="21"/>
    </row>
    <row r="63" customFormat="false" ht="15" hidden="false" customHeight="false" outlineLevel="0" collapsed="false">
      <c r="A63" s="32" t="s">
        <v>1261</v>
      </c>
      <c r="B63" s="32" t="s">
        <v>1264</v>
      </c>
      <c r="C63" s="21" t="s">
        <v>1265</v>
      </c>
      <c r="D63" s="32" t="s">
        <v>1228</v>
      </c>
      <c r="E63" s="37" t="n">
        <v>1</v>
      </c>
      <c r="F63" s="38" t="n">
        <v>0</v>
      </c>
      <c r="G63" s="38" t="n">
        <v>90000</v>
      </c>
      <c r="H63" s="38" t="n">
        <v>120000</v>
      </c>
      <c r="I63" s="43" t="n">
        <f aca="false">F63*$E63</f>
        <v>0</v>
      </c>
      <c r="J63" s="43" t="n">
        <f aca="false">G63*$E63</f>
        <v>90000</v>
      </c>
      <c r="K63" s="43" t="n">
        <f aca="false">H63*$E63</f>
        <v>120000</v>
      </c>
      <c r="L63" s="43" t="n">
        <f aca="false">F63*(1-$E63)</f>
        <v>0</v>
      </c>
      <c r="M63" s="43" t="n">
        <f aca="false">G63*(1-$E63)</f>
        <v>0</v>
      </c>
      <c r="N63" s="43" t="n">
        <f aca="false">H63*(1-$E63)</f>
        <v>0</v>
      </c>
      <c r="O63" s="21"/>
    </row>
    <row r="64" customFormat="false" ht="23.85" hidden="false" customHeight="false" outlineLevel="0" collapsed="false">
      <c r="A64" s="32" t="s">
        <v>1258</v>
      </c>
      <c r="B64" s="32" t="s">
        <v>1266</v>
      </c>
      <c r="C64" s="21" t="s">
        <v>1267</v>
      </c>
      <c r="D64" s="32" t="s">
        <v>1232</v>
      </c>
      <c r="E64" s="37" t="n">
        <v>0.2</v>
      </c>
      <c r="F64" s="38" t="n">
        <v>0</v>
      </c>
      <c r="G64" s="38" t="n">
        <v>800000</v>
      </c>
      <c r="H64" s="38" t="n">
        <v>400000</v>
      </c>
      <c r="I64" s="43" t="n">
        <f aca="false">F64*$E64</f>
        <v>0</v>
      </c>
      <c r="J64" s="43" t="n">
        <f aca="false">G64*$E64</f>
        <v>160000</v>
      </c>
      <c r="K64" s="43" t="n">
        <f aca="false">H64*$E64</f>
        <v>80000</v>
      </c>
      <c r="L64" s="43" t="n">
        <f aca="false">F64*(1-$E64)</f>
        <v>0</v>
      </c>
      <c r="M64" s="43" t="n">
        <f aca="false">G64*(1-$E64)</f>
        <v>640000</v>
      </c>
      <c r="N64" s="43" t="n">
        <f aca="false">H64*(1-$E64)</f>
        <v>320000</v>
      </c>
      <c r="O64" s="21"/>
    </row>
    <row r="65" customFormat="false" ht="23.85" hidden="false" customHeight="false" outlineLevel="0" collapsed="false">
      <c r="A65" s="32" t="s">
        <v>1261</v>
      </c>
      <c r="B65" s="32" t="s">
        <v>1266</v>
      </c>
      <c r="C65" s="21" t="s">
        <v>1267</v>
      </c>
      <c r="D65" s="32" t="s">
        <v>1228</v>
      </c>
      <c r="E65" s="37" t="n">
        <v>0.2</v>
      </c>
      <c r="F65" s="38" t="n">
        <v>0</v>
      </c>
      <c r="G65" s="38" t="n">
        <v>0</v>
      </c>
      <c r="H65" s="38" t="n">
        <v>150000</v>
      </c>
      <c r="I65" s="43" t="n">
        <f aca="false">F65*$E65</f>
        <v>0</v>
      </c>
      <c r="J65" s="43" t="n">
        <f aca="false">G65*$E65</f>
        <v>0</v>
      </c>
      <c r="K65" s="43" t="n">
        <f aca="false">H65*$E65</f>
        <v>30000</v>
      </c>
      <c r="L65" s="43" t="n">
        <f aca="false">F65*(1-$E65)</f>
        <v>0</v>
      </c>
      <c r="M65" s="43" t="n">
        <f aca="false">G65*(1-$E65)</f>
        <v>0</v>
      </c>
      <c r="N65" s="43" t="n">
        <f aca="false">H65*(1-$E65)</f>
        <v>120000</v>
      </c>
      <c r="O65" s="21"/>
    </row>
    <row r="66" customFormat="false" ht="15" hidden="false" customHeight="false" outlineLevel="0" collapsed="false">
      <c r="A66" s="32" t="s">
        <v>1258</v>
      </c>
      <c r="B66" s="32" t="s">
        <v>1268</v>
      </c>
      <c r="C66" s="21" t="s">
        <v>1269</v>
      </c>
      <c r="D66" s="32" t="s">
        <v>1232</v>
      </c>
      <c r="E66" s="37" t="n">
        <v>0.2</v>
      </c>
      <c r="F66" s="38" t="n">
        <v>0</v>
      </c>
      <c r="G66" s="38" t="n">
        <v>450000</v>
      </c>
      <c r="H66" s="38" t="n">
        <v>450000</v>
      </c>
      <c r="I66" s="43" t="n">
        <f aca="false">F66*$E66</f>
        <v>0</v>
      </c>
      <c r="J66" s="43" t="n">
        <f aca="false">G66*$E66</f>
        <v>90000</v>
      </c>
      <c r="K66" s="43" t="n">
        <f aca="false">H66*$E66</f>
        <v>90000</v>
      </c>
      <c r="L66" s="43" t="n">
        <f aca="false">F66*(1-$E66)</f>
        <v>0</v>
      </c>
      <c r="M66" s="43" t="n">
        <f aca="false">G66*(1-$E66)</f>
        <v>360000</v>
      </c>
      <c r="N66" s="43" t="n">
        <f aca="false">H66*(1-$E66)</f>
        <v>360000</v>
      </c>
      <c r="O66" s="21"/>
    </row>
    <row r="67" customFormat="false" ht="15" hidden="false" customHeight="false" outlineLevel="0" collapsed="false">
      <c r="A67" s="32" t="s">
        <v>1261</v>
      </c>
      <c r="B67" s="32" t="s">
        <v>1270</v>
      </c>
      <c r="C67" s="21" t="s">
        <v>1271</v>
      </c>
      <c r="D67" s="32" t="s">
        <v>1228</v>
      </c>
      <c r="E67" s="37" t="n">
        <v>1</v>
      </c>
      <c r="F67" s="38" t="n">
        <v>187500</v>
      </c>
      <c r="G67" s="38" t="n">
        <v>250000</v>
      </c>
      <c r="H67" s="38" t="n">
        <v>250000</v>
      </c>
      <c r="I67" s="43" t="n">
        <f aca="false">F67*$E67</f>
        <v>187500</v>
      </c>
      <c r="J67" s="43" t="n">
        <f aca="false">G67*$E67</f>
        <v>250000</v>
      </c>
      <c r="K67" s="43" t="n">
        <f aca="false">H67*$E67</f>
        <v>250000</v>
      </c>
      <c r="L67" s="43" t="n">
        <f aca="false">F67*(1-$E67)</f>
        <v>0</v>
      </c>
      <c r="M67" s="43" t="n">
        <f aca="false">G67*(1-$E67)</f>
        <v>0</v>
      </c>
      <c r="N67" s="43" t="n">
        <f aca="false">H67*(1-$E67)</f>
        <v>0</v>
      </c>
      <c r="O67" s="21"/>
    </row>
    <row r="68" customFormat="false" ht="15" hidden="false" customHeight="false" outlineLevel="0" collapsed="false">
      <c r="A68" s="32" t="s">
        <v>1258</v>
      </c>
      <c r="B68" s="32" t="s">
        <v>1272</v>
      </c>
      <c r="C68" s="21" t="s">
        <v>1273</v>
      </c>
      <c r="D68" s="32" t="s">
        <v>1232</v>
      </c>
      <c r="E68" s="37" t="n">
        <v>1</v>
      </c>
      <c r="F68" s="38" t="n">
        <v>80000</v>
      </c>
      <c r="G68" s="38" t="n">
        <v>0</v>
      </c>
      <c r="H68" s="38" t="n">
        <v>0</v>
      </c>
      <c r="I68" s="43" t="n">
        <f aca="false">F68*$E68</f>
        <v>80000</v>
      </c>
      <c r="J68" s="43" t="n">
        <f aca="false">G68*$E68</f>
        <v>0</v>
      </c>
      <c r="K68" s="43" t="n">
        <f aca="false">H68*$E68</f>
        <v>0</v>
      </c>
      <c r="L68" s="43" t="n">
        <f aca="false">F68*(1-$E68)</f>
        <v>0</v>
      </c>
      <c r="M68" s="43" t="n">
        <f aca="false">G68*(1-$E68)</f>
        <v>0</v>
      </c>
      <c r="N68" s="43" t="n">
        <f aca="false">H68*(1-$E68)</f>
        <v>0</v>
      </c>
      <c r="O68" s="21"/>
    </row>
    <row r="69" customFormat="false" ht="15" hidden="false" customHeight="false" outlineLevel="0" collapsed="false">
      <c r="A69" s="32" t="s">
        <v>1261</v>
      </c>
      <c r="B69" s="32" t="s">
        <v>1272</v>
      </c>
      <c r="C69" s="21" t="s">
        <v>1273</v>
      </c>
      <c r="D69" s="32" t="s">
        <v>1228</v>
      </c>
      <c r="E69" s="37" t="n">
        <v>1</v>
      </c>
      <c r="F69" s="38" t="n">
        <v>0</v>
      </c>
      <c r="G69" s="38" t="n">
        <v>50000</v>
      </c>
      <c r="H69" s="38" t="n">
        <v>50000</v>
      </c>
      <c r="I69" s="43" t="n">
        <f aca="false">F69*$E69</f>
        <v>0</v>
      </c>
      <c r="J69" s="43" t="n">
        <f aca="false">G69*$E69</f>
        <v>50000</v>
      </c>
      <c r="K69" s="43" t="n">
        <f aca="false">H69*$E69</f>
        <v>50000</v>
      </c>
      <c r="L69" s="43" t="n">
        <f aca="false">F69*(1-$E69)</f>
        <v>0</v>
      </c>
      <c r="M69" s="43" t="n">
        <f aca="false">G69*(1-$E69)</f>
        <v>0</v>
      </c>
      <c r="N69" s="43" t="n">
        <f aca="false">H69*(1-$E69)</f>
        <v>0</v>
      </c>
      <c r="O69" s="21"/>
    </row>
    <row r="70" customFormat="false" ht="15" hidden="false" customHeight="false" outlineLevel="0" collapsed="false">
      <c r="A70" s="32" t="s">
        <v>1258</v>
      </c>
      <c r="B70" s="32" t="s">
        <v>1274</v>
      </c>
      <c r="C70" s="21" t="s">
        <v>1275</v>
      </c>
      <c r="D70" s="32" t="s">
        <v>1232</v>
      </c>
      <c r="E70" s="37" t="n">
        <v>0.5</v>
      </c>
      <c r="F70" s="38" t="n">
        <v>40000</v>
      </c>
      <c r="G70" s="38" t="n">
        <v>0</v>
      </c>
      <c r="H70" s="38" t="n">
        <v>0</v>
      </c>
      <c r="I70" s="43" t="n">
        <f aca="false">F70*$E70</f>
        <v>20000</v>
      </c>
      <c r="J70" s="43" t="n">
        <f aca="false">G70*$E70</f>
        <v>0</v>
      </c>
      <c r="K70" s="43" t="n">
        <f aca="false">H70*$E70</f>
        <v>0</v>
      </c>
      <c r="L70" s="43" t="n">
        <f aca="false">F70*(1-$E70)</f>
        <v>20000</v>
      </c>
      <c r="M70" s="43" t="n">
        <f aca="false">G70*(1-$E70)</f>
        <v>0</v>
      </c>
      <c r="N70" s="43" t="n">
        <f aca="false">H70*(1-$E70)</f>
        <v>0</v>
      </c>
      <c r="O70" s="21"/>
    </row>
    <row r="71" customFormat="false" ht="15" hidden="false" customHeight="false" outlineLevel="0" collapsed="false">
      <c r="A71" s="32" t="s">
        <v>1261</v>
      </c>
      <c r="B71" s="32" t="s">
        <v>1274</v>
      </c>
      <c r="C71" s="21" t="s">
        <v>1275</v>
      </c>
      <c r="D71" s="32" t="s">
        <v>1228</v>
      </c>
      <c r="E71" s="37" t="n">
        <v>0.5</v>
      </c>
      <c r="F71" s="38" t="n">
        <v>30000</v>
      </c>
      <c r="G71" s="38" t="n">
        <v>60000</v>
      </c>
      <c r="H71" s="38" t="n">
        <v>60000</v>
      </c>
      <c r="I71" s="43" t="n">
        <f aca="false">F71*$E71</f>
        <v>15000</v>
      </c>
      <c r="J71" s="43" t="n">
        <f aca="false">G71*$E71</f>
        <v>30000</v>
      </c>
      <c r="K71" s="43" t="n">
        <f aca="false">H71*$E71</f>
        <v>30000</v>
      </c>
      <c r="L71" s="43" t="n">
        <f aca="false">F71*(1-$E71)</f>
        <v>15000</v>
      </c>
      <c r="M71" s="43" t="n">
        <f aca="false">G71*(1-$E71)</f>
        <v>30000</v>
      </c>
      <c r="N71" s="43" t="n">
        <f aca="false">H71*(1-$E71)</f>
        <v>30000</v>
      </c>
      <c r="O71" s="21"/>
    </row>
    <row r="72" customFormat="false" ht="15" hidden="false" customHeight="false" outlineLevel="0" collapsed="false">
      <c r="A72" s="32" t="s">
        <v>1261</v>
      </c>
      <c r="B72" s="32" t="s">
        <v>1276</v>
      </c>
      <c r="C72" s="21" t="s">
        <v>1277</v>
      </c>
      <c r="D72" s="32" t="s">
        <v>1228</v>
      </c>
      <c r="E72" s="37" t="n">
        <v>1</v>
      </c>
      <c r="F72" s="38" t="n">
        <v>350000</v>
      </c>
      <c r="G72" s="38" t="n">
        <v>350000</v>
      </c>
      <c r="H72" s="38" t="n">
        <v>350000</v>
      </c>
      <c r="I72" s="43" t="n">
        <f aca="false">F72*$E72</f>
        <v>350000</v>
      </c>
      <c r="J72" s="43" t="n">
        <f aca="false">G72*$E72</f>
        <v>350000</v>
      </c>
      <c r="K72" s="43" t="n">
        <f aca="false">H72*$E72</f>
        <v>350000</v>
      </c>
      <c r="L72" s="43" t="n">
        <f aca="false">F72*(1-$E72)</f>
        <v>0</v>
      </c>
      <c r="M72" s="43" t="n">
        <f aca="false">G72*(1-$E72)</f>
        <v>0</v>
      </c>
      <c r="N72" s="43" t="n">
        <f aca="false">H72*(1-$E72)</f>
        <v>0</v>
      </c>
      <c r="O72" s="21"/>
    </row>
    <row r="73" customFormat="false" ht="15" hidden="false" customHeight="false" outlineLevel="0" collapsed="false">
      <c r="A73" s="32" t="s">
        <v>1278</v>
      </c>
      <c r="B73" s="32" t="s">
        <v>1279</v>
      </c>
      <c r="C73" s="21" t="s">
        <v>1280</v>
      </c>
      <c r="D73" s="32" t="s">
        <v>1228</v>
      </c>
      <c r="E73" s="37" t="n">
        <v>1</v>
      </c>
      <c r="F73" s="38" t="n">
        <v>0</v>
      </c>
      <c r="G73" s="38" t="n">
        <v>156000</v>
      </c>
      <c r="H73" s="38" t="n">
        <v>156000</v>
      </c>
      <c r="I73" s="43" t="n">
        <f aca="false">F73*$E73</f>
        <v>0</v>
      </c>
      <c r="J73" s="43" t="n">
        <f aca="false">G73*$E73</f>
        <v>156000</v>
      </c>
      <c r="K73" s="43" t="n">
        <f aca="false">H73*$E73</f>
        <v>156000</v>
      </c>
      <c r="L73" s="43" t="n">
        <f aca="false">F73*(1-$E73)</f>
        <v>0</v>
      </c>
      <c r="M73" s="43" t="n">
        <f aca="false">G73*(1-$E73)</f>
        <v>0</v>
      </c>
      <c r="N73" s="43" t="n">
        <f aca="false">H73*(1-$E73)</f>
        <v>0</v>
      </c>
      <c r="O73" s="21" t="s">
        <v>1281</v>
      </c>
    </row>
    <row r="74" customFormat="false" ht="15" hidden="false" customHeight="false" outlineLevel="0" collapsed="false">
      <c r="A74" s="32" t="s">
        <v>1278</v>
      </c>
      <c r="B74" s="32" t="s">
        <v>1282</v>
      </c>
      <c r="C74" s="21" t="s">
        <v>1280</v>
      </c>
      <c r="D74" s="32" t="s">
        <v>1228</v>
      </c>
      <c r="E74" s="37" t="n">
        <v>1</v>
      </c>
      <c r="F74" s="38" t="n">
        <v>0</v>
      </c>
      <c r="G74" s="38" t="n">
        <v>78000</v>
      </c>
      <c r="H74" s="38" t="n">
        <v>156000</v>
      </c>
      <c r="I74" s="43" t="n">
        <f aca="false">F74*$E74</f>
        <v>0</v>
      </c>
      <c r="J74" s="43" t="n">
        <f aca="false">G74*$E74</f>
        <v>78000</v>
      </c>
      <c r="K74" s="43" t="n">
        <f aca="false">H74*$E74</f>
        <v>156000</v>
      </c>
      <c r="L74" s="43" t="n">
        <f aca="false">F74*(1-$E74)</f>
        <v>0</v>
      </c>
      <c r="M74" s="43" t="n">
        <f aca="false">G74*(1-$E74)</f>
        <v>0</v>
      </c>
      <c r="N74" s="43" t="n">
        <f aca="false">H74*(1-$E74)</f>
        <v>0</v>
      </c>
      <c r="O74" s="21" t="s">
        <v>1283</v>
      </c>
    </row>
    <row r="75" customFormat="false" ht="15" hidden="false" customHeight="false" outlineLevel="0" collapsed="false">
      <c r="A75" s="32" t="s">
        <v>1278</v>
      </c>
      <c r="B75" s="32" t="s">
        <v>1284</v>
      </c>
      <c r="C75" s="21" t="s">
        <v>1285</v>
      </c>
      <c r="D75" s="32" t="s">
        <v>1228</v>
      </c>
      <c r="E75" s="37" t="n">
        <v>1</v>
      </c>
      <c r="F75" s="38" t="n">
        <v>0</v>
      </c>
      <c r="G75" s="38" t="n">
        <v>156000</v>
      </c>
      <c r="H75" s="38" t="n">
        <v>156000</v>
      </c>
      <c r="I75" s="43" t="n">
        <f aca="false">F75*$E75</f>
        <v>0</v>
      </c>
      <c r="J75" s="43" t="n">
        <f aca="false">G75*$E75</f>
        <v>156000</v>
      </c>
      <c r="K75" s="43" t="n">
        <f aca="false">H75*$E75</f>
        <v>156000</v>
      </c>
      <c r="L75" s="43" t="n">
        <f aca="false">F75*(1-$E75)</f>
        <v>0</v>
      </c>
      <c r="M75" s="43" t="n">
        <f aca="false">G75*(1-$E75)</f>
        <v>0</v>
      </c>
      <c r="N75" s="43" t="n">
        <f aca="false">H75*(1-$E75)</f>
        <v>0</v>
      </c>
      <c r="O75" s="21" t="s">
        <v>1281</v>
      </c>
    </row>
    <row r="76" customFormat="false" ht="15" hidden="false" customHeight="false" outlineLevel="0" collapsed="false">
      <c r="A76" s="32" t="s">
        <v>1278</v>
      </c>
      <c r="B76" s="32" t="s">
        <v>1286</v>
      </c>
      <c r="C76" s="21" t="s">
        <v>1287</v>
      </c>
      <c r="D76" s="32" t="s">
        <v>1228</v>
      </c>
      <c r="E76" s="37" t="n">
        <v>1</v>
      </c>
      <c r="F76" s="38" t="n">
        <v>78000</v>
      </c>
      <c r="G76" s="38" t="n">
        <v>156000</v>
      </c>
      <c r="H76" s="38" t="n">
        <v>156000</v>
      </c>
      <c r="I76" s="43" t="n">
        <f aca="false">F76*$E76</f>
        <v>78000</v>
      </c>
      <c r="J76" s="43" t="n">
        <f aca="false">G76*$E76</f>
        <v>156000</v>
      </c>
      <c r="K76" s="43" t="n">
        <f aca="false">H76*$E76</f>
        <v>156000</v>
      </c>
      <c r="L76" s="43" t="n">
        <f aca="false">F76*(1-$E76)</f>
        <v>0</v>
      </c>
      <c r="M76" s="43" t="n">
        <f aca="false">G76*(1-$E76)</f>
        <v>0</v>
      </c>
      <c r="N76" s="43" t="n">
        <f aca="false">H76*(1-$E76)</f>
        <v>0</v>
      </c>
      <c r="O76" s="21" t="s">
        <v>1288</v>
      </c>
    </row>
    <row r="77" customFormat="false" ht="15" hidden="false" customHeight="false" outlineLevel="0" collapsed="false">
      <c r="A77" s="32" t="s">
        <v>1278</v>
      </c>
      <c r="B77" s="32" t="s">
        <v>1289</v>
      </c>
      <c r="C77" s="21" t="s">
        <v>1290</v>
      </c>
      <c r="D77" s="32" t="s">
        <v>1228</v>
      </c>
      <c r="E77" s="37" t="n">
        <v>1</v>
      </c>
      <c r="F77" s="38" t="n">
        <v>0</v>
      </c>
      <c r="G77" s="38" t="n">
        <v>156000</v>
      </c>
      <c r="H77" s="38" t="n">
        <v>156000</v>
      </c>
      <c r="I77" s="43" t="n">
        <f aca="false">F77*$E77</f>
        <v>0</v>
      </c>
      <c r="J77" s="43" t="n">
        <f aca="false">G77*$E77</f>
        <v>156000</v>
      </c>
      <c r="K77" s="43" t="n">
        <f aca="false">H77*$E77</f>
        <v>156000</v>
      </c>
      <c r="L77" s="43" t="n">
        <f aca="false">F77*(1-$E77)</f>
        <v>0</v>
      </c>
      <c r="M77" s="43" t="n">
        <f aca="false">G77*(1-$E77)</f>
        <v>0</v>
      </c>
      <c r="N77" s="43" t="n">
        <f aca="false">H77*(1-$E77)</f>
        <v>0</v>
      </c>
      <c r="O77" s="21" t="s">
        <v>1281</v>
      </c>
    </row>
    <row r="78" customFormat="false" ht="15" hidden="false" customHeight="false" outlineLevel="0" collapsed="false">
      <c r="A78" s="32" t="s">
        <v>1278</v>
      </c>
      <c r="B78" s="32" t="s">
        <v>1291</v>
      </c>
      <c r="C78" s="21" t="s">
        <v>1292</v>
      </c>
      <c r="D78" s="32" t="s">
        <v>1228</v>
      </c>
      <c r="E78" s="37" t="n">
        <v>1</v>
      </c>
      <c r="F78" s="38" t="n">
        <v>0</v>
      </c>
      <c r="G78" s="38" t="n">
        <v>78000</v>
      </c>
      <c r="H78" s="38" t="n">
        <v>156000</v>
      </c>
      <c r="I78" s="43" t="n">
        <f aca="false">F78*$E78</f>
        <v>0</v>
      </c>
      <c r="J78" s="43" t="n">
        <f aca="false">G78*$E78</f>
        <v>78000</v>
      </c>
      <c r="K78" s="43" t="n">
        <f aca="false">H78*$E78</f>
        <v>156000</v>
      </c>
      <c r="L78" s="43" t="n">
        <f aca="false">F78*(1-$E78)</f>
        <v>0</v>
      </c>
      <c r="M78" s="43" t="n">
        <f aca="false">G78*(1-$E78)</f>
        <v>0</v>
      </c>
      <c r="N78" s="43" t="n">
        <f aca="false">H78*(1-$E78)</f>
        <v>0</v>
      </c>
      <c r="O78" s="21" t="s">
        <v>1283</v>
      </c>
    </row>
    <row r="79" customFormat="false" ht="35.05" hidden="false" customHeight="false" outlineLevel="0" collapsed="false">
      <c r="A79" s="32" t="s">
        <v>1278</v>
      </c>
      <c r="B79" s="32" t="s">
        <v>1293</v>
      </c>
      <c r="C79" s="21" t="s">
        <v>1294</v>
      </c>
      <c r="D79" s="32" t="s">
        <v>1228</v>
      </c>
      <c r="E79" s="37" t="n">
        <v>1</v>
      </c>
      <c r="F79" s="38" t="n">
        <v>150000</v>
      </c>
      <c r="G79" s="38" t="n">
        <v>400000</v>
      </c>
      <c r="H79" s="38" t="n">
        <v>400000</v>
      </c>
      <c r="I79" s="43" t="n">
        <f aca="false">F79*$E79</f>
        <v>150000</v>
      </c>
      <c r="J79" s="43" t="n">
        <f aca="false">G79*$E79</f>
        <v>400000</v>
      </c>
      <c r="K79" s="43" t="n">
        <f aca="false">H79*$E79</f>
        <v>400000</v>
      </c>
      <c r="L79" s="43" t="n">
        <f aca="false">F79*(1-$E79)</f>
        <v>0</v>
      </c>
      <c r="M79" s="43" t="n">
        <f aca="false">G79*(1-$E79)</f>
        <v>0</v>
      </c>
      <c r="N79" s="43" t="n">
        <f aca="false">H79*(1-$E79)</f>
        <v>0</v>
      </c>
      <c r="O79" s="21" t="s">
        <v>1295</v>
      </c>
    </row>
    <row r="80" customFormat="false" ht="23.85" hidden="false" customHeight="false" outlineLevel="0" collapsed="false">
      <c r="A80" s="32" t="s">
        <v>1278</v>
      </c>
      <c r="B80" s="32" t="s">
        <v>1296</v>
      </c>
      <c r="C80" s="21" t="s">
        <v>1297</v>
      </c>
      <c r="D80" s="32" t="s">
        <v>1232</v>
      </c>
      <c r="E80" s="37" t="n">
        <v>1</v>
      </c>
      <c r="F80" s="38" t="n">
        <v>0</v>
      </c>
      <c r="G80" s="38" t="n">
        <v>750000</v>
      </c>
      <c r="H80" s="38" t="n">
        <v>1500000</v>
      </c>
      <c r="I80" s="43" t="n">
        <f aca="false">F80*$E80</f>
        <v>0</v>
      </c>
      <c r="J80" s="43" t="n">
        <f aca="false">G80*$E80</f>
        <v>750000</v>
      </c>
      <c r="K80" s="43" t="n">
        <f aca="false">H80*$E80</f>
        <v>1500000</v>
      </c>
      <c r="L80" s="43" t="n">
        <f aca="false">F80*(1-$E80)</f>
        <v>0</v>
      </c>
      <c r="M80" s="43" t="n">
        <f aca="false">G80*(1-$E80)</f>
        <v>0</v>
      </c>
      <c r="N80" s="43" t="n">
        <f aca="false">H80*(1-$E80)</f>
        <v>0</v>
      </c>
      <c r="O80" s="21" t="s">
        <v>1298</v>
      </c>
    </row>
    <row r="81" customFormat="false" ht="23.85" hidden="false" customHeight="false" outlineLevel="0" collapsed="false">
      <c r="A81" s="32" t="s">
        <v>1278</v>
      </c>
      <c r="B81" s="32" t="s">
        <v>1299</v>
      </c>
      <c r="C81" s="21" t="s">
        <v>1300</v>
      </c>
      <c r="D81" s="32" t="s">
        <v>1232</v>
      </c>
      <c r="E81" s="37" t="n">
        <v>1</v>
      </c>
      <c r="F81" s="38" t="n">
        <v>200000</v>
      </c>
      <c r="G81" s="38" t="n">
        <v>600000</v>
      </c>
      <c r="H81" s="38" t="n">
        <v>900000</v>
      </c>
      <c r="I81" s="43" t="n">
        <f aca="false">F81*$E81</f>
        <v>200000</v>
      </c>
      <c r="J81" s="43" t="n">
        <f aca="false">G81*$E81</f>
        <v>600000</v>
      </c>
      <c r="K81" s="43" t="n">
        <f aca="false">H81*$E81</f>
        <v>900000</v>
      </c>
      <c r="L81" s="43" t="n">
        <f aca="false">F81*(1-$E81)</f>
        <v>0</v>
      </c>
      <c r="M81" s="43" t="n">
        <f aca="false">G81*(1-$E81)</f>
        <v>0</v>
      </c>
      <c r="N81" s="43" t="n">
        <f aca="false">H81*(1-$E81)</f>
        <v>0</v>
      </c>
      <c r="O81" s="21" t="s">
        <v>1301</v>
      </c>
    </row>
    <row r="82" customFormat="false" ht="15" hidden="false" customHeight="false" outlineLevel="0" collapsed="false">
      <c r="A82" s="32" t="s">
        <v>1302</v>
      </c>
      <c r="B82" s="32" t="s">
        <v>1303</v>
      </c>
      <c r="C82" s="32" t="s">
        <v>1304</v>
      </c>
      <c r="D82" s="32" t="s">
        <v>1228</v>
      </c>
      <c r="E82" s="37" t="n">
        <v>1</v>
      </c>
      <c r="F82" s="43" t="n">
        <f aca="false">I82</f>
        <v>459275</v>
      </c>
      <c r="G82" s="43" t="n">
        <f aca="false">J82</f>
        <v>504466.666666667</v>
      </c>
      <c r="H82" s="43" t="n">
        <f aca="false">K82</f>
        <v>442300</v>
      </c>
      <c r="I82" s="43" t="n">
        <f aca="false">Budget_Params!$B$12*SUMPRODUCT((LEFT($A$5:$A$81,1)&lt;="F")*I5:I81)</f>
        <v>459275</v>
      </c>
      <c r="J82" s="43" t="n">
        <f aca="false">Budget_Params!$B$12*SUMPRODUCT((LEFT($A$5:$A$81,1)&lt;="F")*J5:J81)</f>
        <v>504466.666666667</v>
      </c>
      <c r="K82" s="43" t="n">
        <f aca="false">Budget_Params!$B$12*SUMPRODUCT((LEFT($A$5:$A$81,1)&lt;="F")*K5:K81)</f>
        <v>442300</v>
      </c>
      <c r="L82" s="43" t="n">
        <v>0</v>
      </c>
      <c r="M82" s="43" t="n">
        <v>0</v>
      </c>
      <c r="N82" s="43" t="n">
        <v>0</v>
      </c>
    </row>
    <row r="83" customFormat="false" ht="23.85" hidden="false" customHeight="false" outlineLevel="0" collapsed="false">
      <c r="A83" s="32" t="s">
        <v>1305</v>
      </c>
      <c r="B83" s="32" t="s">
        <v>1306</v>
      </c>
      <c r="C83" s="32" t="s">
        <v>1307</v>
      </c>
      <c r="D83" s="32" t="s">
        <v>1232</v>
      </c>
      <c r="E83" s="37" t="n">
        <v>1</v>
      </c>
      <c r="F83" s="43" t="n">
        <f aca="false">I83</f>
        <v>1519975</v>
      </c>
      <c r="G83" s="43" t="n">
        <f aca="false">J83</f>
        <v>1420866.66666667</v>
      </c>
      <c r="H83" s="43" t="n">
        <f aca="false">K83</f>
        <v>3398700</v>
      </c>
      <c r="I83" s="43" t="n">
        <f aca="false">MAX(0,Budget_Params!$B$13*Budget_Params!$B$4-SUM(I5:I82))</f>
        <v>1519975</v>
      </c>
      <c r="J83" s="43" t="n">
        <f aca="false">MAX(0,Budget_Params!$B$14*Budget_Params!$B$4-SUM(J5:J82))</f>
        <v>1420866.66666667</v>
      </c>
      <c r="K83" s="43" t="n">
        <f aca="false">MAX(0,Budget_Params!$B$15*Budget_Params!$B$4-SUM(K5:K82))</f>
        <v>3398700</v>
      </c>
      <c r="L83" s="43" t="n">
        <v>0</v>
      </c>
      <c r="M83" s="43" t="n">
        <v>0</v>
      </c>
      <c r="N83" s="43" t="n">
        <v>0</v>
      </c>
      <c r="O83" s="21" t="s">
        <v>1308</v>
      </c>
    </row>
    <row r="84" customFormat="false" ht="15" hidden="false" customHeight="false" outlineLevel="0" collapsed="false">
      <c r="C84" s="39" t="s">
        <v>1309</v>
      </c>
      <c r="F84" s="41" t="n">
        <f aca="false">SUM(F5:F83)</f>
        <v>7897500</v>
      </c>
      <c r="G84" s="41" t="n">
        <f aca="false">SUM(G5:G83)</f>
        <v>11216666.6666667</v>
      </c>
      <c r="H84" s="41" t="n">
        <f aca="false">SUM(H5:H83)</f>
        <v>13270000</v>
      </c>
      <c r="I84" s="41" t="n">
        <f aca="false">SUM(I5:I83)</f>
        <v>7000000</v>
      </c>
      <c r="J84" s="41" t="n">
        <f aca="false">SUM(J5:J83)</f>
        <v>9500000</v>
      </c>
      <c r="K84" s="41" t="n">
        <f aca="false">SUM(K5:K83)</f>
        <v>12000000</v>
      </c>
      <c r="L84" s="41" t="n">
        <f aca="false">SUM(L5:L83)</f>
        <v>897500</v>
      </c>
      <c r="M84" s="41" t="n">
        <f aca="false">SUM(M5:M83)</f>
        <v>1716666.66666667</v>
      </c>
      <c r="N84" s="41" t="n">
        <f aca="false">SUM(N5:N83)</f>
        <v>1270000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5" min="3" style="0" width="13"/>
    <col collapsed="false" customWidth="true" hidden="false" outlineLevel="0" max="8" min="6" style="0" width="9"/>
    <col collapsed="false" customWidth="true" hidden="false" outlineLevel="0" max="9" min="9" style="0" width="22"/>
    <col collapsed="false" customWidth="true" hidden="false" outlineLevel="0" max="10" min="10" style="0" width="28"/>
    <col collapsed="false" customWidth="true" hidden="false" outlineLevel="0" max="11" min="11" style="0" width="12"/>
  </cols>
  <sheetData>
    <row r="1" customFormat="false" ht="17.35" hidden="false" customHeight="false" outlineLevel="0" collapsed="false">
      <c r="A1" s="31" t="s">
        <v>1310</v>
      </c>
    </row>
    <row r="3" customFormat="false" ht="23.85" hidden="false" customHeight="false" outlineLevel="0" collapsed="false">
      <c r="A3" s="5" t="s">
        <v>1311</v>
      </c>
      <c r="B3" s="5" t="s">
        <v>1312</v>
      </c>
      <c r="C3" s="5" t="s">
        <v>1218</v>
      </c>
      <c r="D3" s="5" t="s">
        <v>1219</v>
      </c>
      <c r="E3" s="5" t="s">
        <v>1220</v>
      </c>
      <c r="F3" s="5" t="s">
        <v>1313</v>
      </c>
      <c r="G3" s="5" t="s">
        <v>1314</v>
      </c>
      <c r="H3" s="5" t="s">
        <v>1315</v>
      </c>
      <c r="I3" s="5" t="s">
        <v>1316</v>
      </c>
      <c r="J3" s="5" t="s">
        <v>1317</v>
      </c>
      <c r="K3" s="5" t="s">
        <v>1318</v>
      </c>
    </row>
    <row r="4" customFormat="false" ht="15" hidden="false" customHeight="false" outlineLevel="0" collapsed="false">
      <c r="A4" s="32" t="s">
        <v>1319</v>
      </c>
      <c r="B4" s="32" t="s">
        <v>1320</v>
      </c>
      <c r="C4" s="43" t="n">
        <f aca="false">SUMPRODUCT((LEFT(Budget_Lines!$A$5:$A$83,1)="A")*Budget_Lines!I5:I83)</f>
        <v>912000</v>
      </c>
      <c r="D4" s="43" t="n">
        <f aca="false">SUMPRODUCT((LEFT(Budget_Lines!$A$5:$A$83,1)="A")*Budget_Lines!J5:J83)</f>
        <v>912000</v>
      </c>
      <c r="E4" s="43" t="n">
        <f aca="false">SUMPRODUCT((LEFT(Budget_Lines!$A$5:$A$83,1)="A")*Budget_Lines!K5:K83)</f>
        <v>912000</v>
      </c>
      <c r="F4" s="42" t="n">
        <f aca="false">C4/Budget_Params!$B$4</f>
        <v>0.00912</v>
      </c>
      <c r="G4" s="42" t="n">
        <f aca="false">D4/Budget_Params!$B$4</f>
        <v>0.00912</v>
      </c>
      <c r="H4" s="42" t="n">
        <f aca="false">E4/Budget_Params!$B$4</f>
        <v>0.00912</v>
      </c>
      <c r="I4" s="32" t="str">
        <f aca="false">IF(MIN(F4:H4)&lt;Budget_Params!$B$5,"Below floor",IF(MAX(F4:H4)&gt;Budget_Params!$B$7,"Above ceiling","Within band"))</f>
        <v>Below floor</v>
      </c>
      <c r="J4" s="32" t="str">
        <f aca="false">IF(ABS(H4-Budget_Params!$B$18)&lt;=0.005,"At appetite target",IF(H4&lt;Budget_Params!$B$18,"Below target by "&amp;TEXT(Budget_Params!$B$18-H4,"0.0%"),"Above target by "&amp;TEXT(H4-Budget_Params!$B$18,"0.0%")))</f>
        <v>Below target by 11.1%</v>
      </c>
      <c r="K4" s="44" t="str">
        <f aca="false">IF(H4&lt;Budget_Params!$B$5,"n/a (below floor)",IF(H4&gt;=Budget_Params!$B$7,Budget_Params!$B$9,IF(H4&gt;=Budget_Params!$B$6,Budget_Params!$B$9+(Budget_Params!$B$7-H4)/(Budget_Params!$B$7-Budget_Params!$B$6)*(Budget_Params!$B$10-Budget_Params!$B$9),Budget_Params!$B$10+(Budget_Params!$B$6-H4)/(Budget_Params!$B$6-Budget_Params!$B$5)*(Budget_Params!$B$11-Budget_Params!$B$10))))</f>
        <v>n/a (below floor)</v>
      </c>
    </row>
    <row r="5" customFormat="false" ht="15" hidden="false" customHeight="false" outlineLevel="0" collapsed="false">
      <c r="A5" s="32" t="s">
        <v>1321</v>
      </c>
      <c r="B5" s="32" t="s">
        <v>1322</v>
      </c>
      <c r="C5" s="43" t="n">
        <f aca="false">SUMPRODUCT((LEFT(Budget_Lines!$A$5:$A$83,1)="A")*Budget_Lines!I5:I83)+SUMPRODUCT((LEFT(Budget_Lines!$A$5:$A$83,1)="B")*Budget_Lines!I5:I83)+SUMPRODUCT((LEFT(Budget_Lines!$A$5:$A$83,1)="C")*Budget_Lines!I5:I83)</f>
        <v>3492250</v>
      </c>
      <c r="D5" s="43" t="n">
        <f aca="false">SUMPRODUCT((LEFT(Budget_Lines!$A$5:$A$83,1)="A")*Budget_Lines!J5:J83)+SUMPRODUCT((LEFT(Budget_Lines!$A$5:$A$83,1)="B")*Budget_Lines!J5:J83)+SUMPRODUCT((LEFT(Budget_Lines!$A$5:$A$83,1)="C")*Budget_Lines!J5:J83)</f>
        <v>2519666.66666667</v>
      </c>
      <c r="E5" s="43" t="n">
        <f aca="false">SUMPRODUCT((LEFT(Budget_Lines!$A$5:$A$83,1)="A")*Budget_Lines!K5:K83)+SUMPRODUCT((LEFT(Budget_Lines!$A$5:$A$83,1)="B")*Budget_Lines!K5:K83)+SUMPRODUCT((LEFT(Budget_Lines!$A$5:$A$83,1)="C")*Budget_Lines!K5:K83)</f>
        <v>2393000</v>
      </c>
      <c r="F5" s="42" t="n">
        <f aca="false">C5/Budget_Params!$B$4</f>
        <v>0.0349225</v>
      </c>
      <c r="G5" s="42" t="n">
        <f aca="false">D5/Budget_Params!$B$4</f>
        <v>0.0251966666666667</v>
      </c>
      <c r="H5" s="42" t="n">
        <f aca="false">E5/Budget_Params!$B$4</f>
        <v>0.02393</v>
      </c>
      <c r="I5" s="32" t="str">
        <f aca="false">IF(MIN(F5:H5)&lt;Budget_Params!$B$5,"Below floor",IF(MAX(F5:H5)&gt;Budget_Params!$B$7,"Above ceiling","Within band"))</f>
        <v>Below floor</v>
      </c>
      <c r="J5" s="32" t="str">
        <f aca="false">IF(ABS(H5-Budget_Params!$B$18)&lt;=0.005,"At appetite target",IF(H5&lt;Budget_Params!$B$18,"Below target by "&amp;TEXT(Budget_Params!$B$18-H5,"0.0%"),"Above target by "&amp;TEXT(H5-Budget_Params!$B$18,"0.0%")))</f>
        <v>Below target by 9.6%</v>
      </c>
      <c r="K5" s="44" t="str">
        <f aca="false">IF(H5&lt;Budget_Params!$B$5,"n/a (below floor)",IF(H5&gt;=Budget_Params!$B$7,Budget_Params!$B$9,IF(H5&gt;=Budget_Params!$B$6,Budget_Params!$B$9+(Budget_Params!$B$7-H5)/(Budget_Params!$B$7-Budget_Params!$B$6)*(Budget_Params!$B$10-Budget_Params!$B$9),Budget_Params!$B$10+(Budget_Params!$B$6-H5)/(Budget_Params!$B$6-Budget_Params!$B$5)*(Budget_Params!$B$11-Budget_Params!$B$10))))</f>
        <v>n/a (below floor)</v>
      </c>
    </row>
    <row r="6" customFormat="false" ht="15" hidden="false" customHeight="false" outlineLevel="0" collapsed="false">
      <c r="A6" s="32" t="s">
        <v>1323</v>
      </c>
      <c r="B6" s="32" t="s">
        <v>1324</v>
      </c>
      <c r="C6" s="43" t="n">
        <f aca="false">(SUMPRODUCT((LEFT(Budget_Lines!$A$5:$A$83,1)="A")*Budget_Lines!I5:I83)+SUMPRODUCT((LEFT(Budget_Lines!$A$5:$A$83,1)="B")*Budget_Lines!I5:I83)+SUMPRODUCT((LEFT(Budget_Lines!$A$5:$A$83,1)="C")*Budget_Lines!I5:I83)+SUMPRODUCT((LEFT(Budget_Lines!$A$5:$A$83,1)="D")*Budget_Lines!I5:I83))*(1+Budget_Params!$B$12)</f>
        <v>4141775</v>
      </c>
      <c r="D6" s="43" t="n">
        <f aca="false">(SUMPRODUCT((LEFT(Budget_Lines!$A$5:$A$83,1)="A")*Budget_Lines!J5:J83)+SUMPRODUCT((LEFT(Budget_Lines!$A$5:$A$83,1)="B")*Budget_Lines!J5:J83)+SUMPRODUCT((LEFT(Budget_Lines!$A$5:$A$83,1)="C")*Budget_Lines!J5:J83)+SUMPRODUCT((LEFT(Budget_Lines!$A$5:$A$83,1)="D")*Budget_Lines!J5:J83))*(1+Budget_Params!$B$12)</f>
        <v>3629633.33333333</v>
      </c>
      <c r="E6" s="43" t="n">
        <f aca="false">(SUMPRODUCT((LEFT(Budget_Lines!$A$5:$A$83,1)="A")*Budget_Lines!K5:K83)+SUMPRODUCT((LEFT(Budget_Lines!$A$5:$A$83,1)="B")*Budget_Lines!K5:K83)+SUMPRODUCT((LEFT(Budget_Lines!$A$5:$A$83,1)="C")*Budget_Lines!K5:K83)+SUMPRODUCT((LEFT(Budget_Lines!$A$5:$A$83,1)="D")*Budget_Lines!K5:K83))*(1+Budget_Params!$B$12)</f>
        <v>3490300</v>
      </c>
      <c r="F6" s="42" t="n">
        <f aca="false">C6/Budget_Params!$B$4</f>
        <v>0.04141775</v>
      </c>
      <c r="G6" s="42" t="n">
        <f aca="false">D6/Budget_Params!$B$4</f>
        <v>0.0362963333333333</v>
      </c>
      <c r="H6" s="42" t="n">
        <f aca="false">E6/Budget_Params!$B$4</f>
        <v>0.034903</v>
      </c>
      <c r="I6" s="32" t="str">
        <f aca="false">IF(MIN(F6:H6)&lt;Budget_Params!$B$5,"Below floor",IF(MAX(F6:H6)&gt;Budget_Params!$B$7,"Above ceiling","Within band"))</f>
        <v>Below floor</v>
      </c>
      <c r="J6" s="32" t="str">
        <f aca="false">IF(ABS(H6-Budget_Params!$B$18)&lt;=0.005,"At appetite target",IF(H6&lt;Budget_Params!$B$18,"Below target by "&amp;TEXT(Budget_Params!$B$18-H6,"0.0%"),"Above target by "&amp;TEXT(H6-Budget_Params!$B$18,"0.0%")))</f>
        <v>Below target by 8.5%</v>
      </c>
      <c r="K6" s="44" t="str">
        <f aca="false">IF(H6&lt;Budget_Params!$B$5,"n/a (below floor)",IF(H6&gt;=Budget_Params!$B$7,Budget_Params!$B$9,IF(H6&gt;=Budget_Params!$B$6,Budget_Params!$B$9+(Budget_Params!$B$7-H6)/(Budget_Params!$B$7-Budget_Params!$B$6)*(Budget_Params!$B$10-Budget_Params!$B$9),Budget_Params!$B$10+(Budget_Params!$B$6-H6)/(Budget_Params!$B$6-Budget_Params!$B$5)*(Budget_Params!$B$11-Budget_Params!$B$10))))</f>
        <v>n/a (below floor)</v>
      </c>
    </row>
    <row r="7" customFormat="false" ht="15" hidden="false" customHeight="false" outlineLevel="0" collapsed="false">
      <c r="A7" s="32" t="s">
        <v>1325</v>
      </c>
      <c r="B7" s="32" t="s">
        <v>1326</v>
      </c>
      <c r="C7" s="43" t="n">
        <f aca="false">(SUMPRODUCT((LEFT(Budget_Lines!$A$5:$A$83,1)="A")*Budget_Lines!I5:I83)+SUMPRODUCT((LEFT(Budget_Lines!$A$5:$A$83,1)="B")*Budget_Lines!I5:I83)+SUMPRODUCT((LEFT(Budget_Lines!$A$5:$A$83,1)="C")*Budget_Lines!I5:I83)+SUMPRODUCT((LEFT(Budget_Lines!$A$5:$A$83,1)="D")*Budget_Lines!I5:I83)+SUMPRODUCT((LEFT(Budget_Lines!$A$5:$A$83,1)="E")*Budget_Lines!I5:I83)+SUMPRODUCT((LEFT(Budget_Lines!$A$5:$A$83,1)="F")*Budget_Lines!I5:I83))*(1+Budget_Params!$B$12)</f>
        <v>5052025</v>
      </c>
      <c r="D7" s="43" t="n">
        <f aca="false">(SUMPRODUCT((LEFT(Budget_Lines!$A$5:$A$83,1)="A")*Budget_Lines!J5:J83)+SUMPRODUCT((LEFT(Budget_Lines!$A$5:$A$83,1)="B")*Budget_Lines!J5:J83)+SUMPRODUCT((LEFT(Budget_Lines!$A$5:$A$83,1)="C")*Budget_Lines!J5:J83)+SUMPRODUCT((LEFT(Budget_Lines!$A$5:$A$83,1)="D")*Budget_Lines!J5:J83)+SUMPRODUCT((LEFT(Budget_Lines!$A$5:$A$83,1)="E")*Budget_Lines!J5:J83)+SUMPRODUCT((LEFT(Budget_Lines!$A$5:$A$83,1)="F")*Budget_Lines!J5:J83))*(1+Budget_Params!$B$12)</f>
        <v>5549133.33333333</v>
      </c>
      <c r="E7" s="43" t="n">
        <f aca="false">(SUMPRODUCT((LEFT(Budget_Lines!$A$5:$A$83,1)="A")*Budget_Lines!K5:K83)+SUMPRODUCT((LEFT(Budget_Lines!$A$5:$A$83,1)="B")*Budget_Lines!K5:K83)+SUMPRODUCT((LEFT(Budget_Lines!$A$5:$A$83,1)="C")*Budget_Lines!K5:K83)+SUMPRODUCT((LEFT(Budget_Lines!$A$5:$A$83,1)="D")*Budget_Lines!K5:K83)+SUMPRODUCT((LEFT(Budget_Lines!$A$5:$A$83,1)="E")*Budget_Lines!K5:K83)+SUMPRODUCT((LEFT(Budget_Lines!$A$5:$A$83,1)="F")*Budget_Lines!K5:K83))*(1+Budget_Params!$B$12)</f>
        <v>4865300</v>
      </c>
      <c r="F7" s="42" t="n">
        <f aca="false">C7/Budget_Params!$B$4</f>
        <v>0.05052025</v>
      </c>
      <c r="G7" s="42" t="n">
        <f aca="false">D7/Budget_Params!$B$4</f>
        <v>0.0554913333333333</v>
      </c>
      <c r="H7" s="42" t="n">
        <f aca="false">E7/Budget_Params!$B$4</f>
        <v>0.048653</v>
      </c>
      <c r="I7" s="32" t="str">
        <f aca="false">IF(MIN(F7:H7)&lt;Budget_Params!$B$5,"Below floor",IF(MAX(F7:H7)&gt;Budget_Params!$B$7,"Above ceiling","Within band"))</f>
        <v>Within band</v>
      </c>
      <c r="J7" s="32" t="str">
        <f aca="false">IF(ABS(H7-Budget_Params!$B$18)&lt;=0.005,"At appetite target",IF(H7&lt;Budget_Params!$B$18,"Below target by "&amp;TEXT(Budget_Params!$B$18-H7,"0.0%"),"Above target by "&amp;TEXT(H7-Budget_Params!$B$18,"0.0%")))</f>
        <v>Below target by 7.1%</v>
      </c>
      <c r="K7" s="44" t="n">
        <f aca="false">IF(H7&lt;Budget_Params!$B$5,"n/a (below floor)",IF(H7&gt;=Budget_Params!$B$7,Budget_Params!$B$9,IF(H7&gt;=Budget_Params!$B$6,Budget_Params!$B$9+(Budget_Params!$B$7-H7)/(Budget_Params!$B$7-Budget_Params!$B$6)*(Budget_Params!$B$10-Budget_Params!$B$9),Budget_Params!$B$10+(Budget_Params!$B$6-H7)/(Budget_Params!$B$6-Budget_Params!$B$5)*(Budget_Params!$B$11-Budget_Params!$B$10))))</f>
        <v>0.654457894736842</v>
      </c>
    </row>
    <row r="8" customFormat="false" ht="15" hidden="false" customHeight="false" outlineLevel="0" collapsed="false">
      <c r="A8" s="39" t="s">
        <v>1327</v>
      </c>
      <c r="B8" s="32" t="s">
        <v>1328</v>
      </c>
      <c r="C8" s="43" t="n">
        <f aca="false">SUMPRODUCT((LEFT(Budget_Lines!$A$5:$A$83,1)="A")*Budget_Lines!I5:I83)+SUMPRODUCT((LEFT(Budget_Lines!$A$5:$A$83,1)="B")*Budget_Lines!I5:I83)+SUMPRODUCT((LEFT(Budget_Lines!$A$5:$A$83,1)="C")*Budget_Lines!I5:I83)+SUMPRODUCT((LEFT(Budget_Lines!$A$5:$A$83,1)="D")*Budget_Lines!I5:I83)+SUMPRODUCT((LEFT(Budget_Lines!$A$5:$A$83,1)="E")*Budget_Lines!I5:I83)+SUMPRODUCT((LEFT(Budget_Lines!$A$5:$A$83,1)="F")*Budget_Lines!I5:I83)+SUMPRODUCT((LEFT(Budget_Lines!$A$5:$A$83,1)="G")*Budget_Lines!I5:I83)+SUMPRODUCT((LEFT(Budget_Lines!$A$5:$A$83,1)="H")*Budget_Lines!I5:I83)+SUMPRODUCT((LEFT(Budget_Lines!$A$5:$A$83,1)="I")*Budget_Lines!I5:I83)</f>
        <v>7000000</v>
      </c>
      <c r="D8" s="43" t="n">
        <f aca="false">SUMPRODUCT((LEFT(Budget_Lines!$A$5:$A$83,1)="A")*Budget_Lines!J5:J83)+SUMPRODUCT((LEFT(Budget_Lines!$A$5:$A$83,1)="B")*Budget_Lines!J5:J83)+SUMPRODUCT((LEFT(Budget_Lines!$A$5:$A$83,1)="C")*Budget_Lines!J5:J83)+SUMPRODUCT((LEFT(Budget_Lines!$A$5:$A$83,1)="D")*Budget_Lines!J5:J83)+SUMPRODUCT((LEFT(Budget_Lines!$A$5:$A$83,1)="E")*Budget_Lines!J5:J83)+SUMPRODUCT((LEFT(Budget_Lines!$A$5:$A$83,1)="F")*Budget_Lines!J5:J83)+SUMPRODUCT((LEFT(Budget_Lines!$A$5:$A$83,1)="G")*Budget_Lines!J5:J83)+SUMPRODUCT((LEFT(Budget_Lines!$A$5:$A$83,1)="H")*Budget_Lines!J5:J83)+SUMPRODUCT((LEFT(Budget_Lines!$A$5:$A$83,1)="I")*Budget_Lines!J5:J83)</f>
        <v>9500000</v>
      </c>
      <c r="E8" s="43" t="n">
        <f aca="false">SUMPRODUCT((LEFT(Budget_Lines!$A$5:$A$83,1)="A")*Budget_Lines!K5:K83)+SUMPRODUCT((LEFT(Budget_Lines!$A$5:$A$83,1)="B")*Budget_Lines!K5:K83)+SUMPRODUCT((LEFT(Budget_Lines!$A$5:$A$83,1)="C")*Budget_Lines!K5:K83)+SUMPRODUCT((LEFT(Budget_Lines!$A$5:$A$83,1)="D")*Budget_Lines!K5:K83)+SUMPRODUCT((LEFT(Budget_Lines!$A$5:$A$83,1)="E")*Budget_Lines!K5:K83)+SUMPRODUCT((LEFT(Budget_Lines!$A$5:$A$83,1)="F")*Budget_Lines!K5:K83)+SUMPRODUCT((LEFT(Budget_Lines!$A$5:$A$83,1)="G")*Budget_Lines!K5:K83)+SUMPRODUCT((LEFT(Budget_Lines!$A$5:$A$83,1)="H")*Budget_Lines!K5:K83)+SUMPRODUCT((LEFT(Budget_Lines!$A$5:$A$83,1)="I")*Budget_Lines!K5:K83)</f>
        <v>12000000</v>
      </c>
      <c r="F8" s="42" t="n">
        <f aca="false">C8/Budget_Params!$B$4</f>
        <v>0.07</v>
      </c>
      <c r="G8" s="42" t="n">
        <f aca="false">D8/Budget_Params!$B$4</f>
        <v>0.095</v>
      </c>
      <c r="H8" s="42" t="n">
        <f aca="false">E8/Budget_Params!$B$4</f>
        <v>0.12</v>
      </c>
      <c r="I8" s="32" t="str">
        <f aca="false">IF(MIN(F8:H8)&lt;Budget_Params!$B$5,"Below floor",IF(MAX(F8:H8)&gt;Budget_Params!$B$7,"Above ceiling","Within band"))</f>
        <v>Within band</v>
      </c>
      <c r="J8" s="32" t="str">
        <f aca="false">IF(ABS(H8-Budget_Params!$B$18)&lt;=0.005,"At appetite target",IF(H8&lt;Budget_Params!$B$18,"Below target by "&amp;TEXT(Budget_Params!$B$18-H8,"0.0%"),"Above target by "&amp;TEXT(H8-Budget_Params!$B$18,"0.0%")))</f>
        <v>At appetite target</v>
      </c>
      <c r="K8" s="44" t="n">
        <f aca="false">IF(H8&lt;Budget_Params!$B$5,"n/a (below floor)",IF(H8&gt;=Budget_Params!$B$7,Budget_Params!$B$9,IF(H8&gt;=Budget_Params!$B$6,Budget_Params!$B$9+(Budget_Params!$B$7-H8)/(Budget_Params!$B$7-Budget_Params!$B$6)*(Budget_Params!$B$10-Budget_Params!$B$9),Budget_Params!$B$10+(Budget_Params!$B$6-H8)/(Budget_Params!$B$6-Budget_Params!$B$5)*(Budget_Params!$B$11-Budget_Params!$B$10))))</f>
        <v>0.3</v>
      </c>
    </row>
    <row r="11" customFormat="false" ht="15" hidden="false" customHeight="false" outlineLevel="0" collapsed="false">
      <c r="A11" s="39" t="s">
        <v>1329</v>
      </c>
      <c r="C11" s="41" t="n">
        <f aca="false">Budget_Params!$B$19</f>
        <v>12000000</v>
      </c>
      <c r="F11" s="40" t="n">
        <f aca="false">Budget_Params!$B$18</f>
        <v>0.12</v>
      </c>
    </row>
    <row r="12" customFormat="false" ht="15" hidden="false" customHeight="false" outlineLevel="0" collapsed="false">
      <c r="A12" s="32" t="s">
        <v>1330</v>
      </c>
      <c r="E12" s="43" t="n">
        <f aca="false">ROUND(E8-Budget_Params!$B$19,0)</f>
        <v>0</v>
      </c>
    </row>
    <row r="15" customFormat="false" ht="15" hidden="false" customHeight="false" outlineLevel="0" collapsed="false">
      <c r="A15" s="45" t="s">
        <v>1331</v>
      </c>
    </row>
    <row r="16" customFormat="false" ht="23.85" hidden="false" customHeight="false" outlineLevel="0" collapsed="false">
      <c r="A16" s="5" t="s">
        <v>1332</v>
      </c>
      <c r="B16" s="5"/>
      <c r="C16" s="5" t="s">
        <v>1333</v>
      </c>
      <c r="D16" s="5" t="s">
        <v>1334</v>
      </c>
      <c r="E16" s="5" t="s">
        <v>1335</v>
      </c>
      <c r="F16" s="5" t="s">
        <v>1336</v>
      </c>
    </row>
    <row r="17" customFormat="false" ht="15" hidden="false" customHeight="false" outlineLevel="0" collapsed="false">
      <c r="A17" s="32" t="s">
        <v>1337</v>
      </c>
      <c r="C17" s="43" t="n">
        <f aca="false">SUMPRODUCT((Budget_Lines!$D$5:$D$83="project")*Budget_Lines!I5:I83)</f>
        <v>4052308.33333333</v>
      </c>
      <c r="D17" s="43" t="n">
        <f aca="false">SUMPRODUCT((Budget_Lines!$D$5:$D$83="project")*Budget_Lines!J5:J83)</f>
        <v>3862533.33333333</v>
      </c>
      <c r="E17" s="43" t="n">
        <f aca="false">SUMPRODUCT((Budget_Lines!$D$5:$D$83="project")*Budget_Lines!K5:K83)</f>
        <v>5968700</v>
      </c>
      <c r="F17" s="43" t="n">
        <f aca="false">SUM(C17:E17)</f>
        <v>13883541.6666667</v>
      </c>
    </row>
    <row r="18" customFormat="false" ht="15" hidden="false" customHeight="false" outlineLevel="0" collapsed="false">
      <c r="A18" s="32" t="s">
        <v>1338</v>
      </c>
      <c r="C18" s="43" t="n">
        <f aca="false">SUMPRODUCT((Budget_Lines!$D$5:$D$83="project")*Budget_Lines!L5:L83)</f>
        <v>819333.333333333</v>
      </c>
      <c r="D18" s="43" t="n">
        <f aca="false">SUMPRODUCT((Budget_Lines!$D$5:$D$83="project")*Budget_Lines!M5:M83)</f>
        <v>1366666.66666667</v>
      </c>
      <c r="E18" s="43" t="n">
        <f aca="false">SUMPRODUCT((Budget_Lines!$D$5:$D$83="project")*Budget_Lines!N5:N83)</f>
        <v>680000</v>
      </c>
      <c r="F18" s="43" t="n">
        <f aca="false">SUM(C18:E18)</f>
        <v>2866000</v>
      </c>
    </row>
    <row r="19" customFormat="false" ht="15" hidden="false" customHeight="false" outlineLevel="0" collapsed="false">
      <c r="A19" s="39" t="s">
        <v>1339</v>
      </c>
      <c r="C19" s="41" t="n">
        <f aca="false">C17+C18</f>
        <v>4871641.66666667</v>
      </c>
      <c r="D19" s="41" t="n">
        <f aca="false">D17+D18</f>
        <v>5229200</v>
      </c>
      <c r="E19" s="41" t="n">
        <f aca="false">E17+E18</f>
        <v>6648700</v>
      </c>
      <c r="F19" s="41" t="n">
        <f aca="false">F17+F18</f>
        <v>16749541.6666667</v>
      </c>
    </row>
    <row r="20" customFormat="false" ht="15" hidden="false" customHeight="false" outlineLevel="0" collapsed="false">
      <c r="A20" s="32" t="s">
        <v>1340</v>
      </c>
      <c r="C20" s="43" t="n">
        <f aca="false">C8-C17</f>
        <v>2947691.66666667</v>
      </c>
      <c r="D20" s="43" t="n">
        <f aca="false">D8-D17</f>
        <v>5637466.66666667</v>
      </c>
      <c r="E20" s="43" t="n">
        <f aca="false">E8-E17</f>
        <v>6031300</v>
      </c>
      <c r="F20" s="43" t="n">
        <f aca="false">SUM(C20:E20)</f>
        <v>14616458.3333333</v>
      </c>
    </row>
    <row r="23" customFormat="false" ht="15" hidden="false" customHeight="false" outlineLevel="0" collapsed="false">
      <c r="A23" s="45" t="s">
        <v>1341</v>
      </c>
    </row>
    <row r="24" customFormat="false" ht="35.05" hidden="false" customHeight="false" outlineLevel="0" collapsed="false">
      <c r="A24" s="5" t="s">
        <v>1342</v>
      </c>
      <c r="B24" s="5"/>
      <c r="C24" s="5" t="s">
        <v>1343</v>
      </c>
      <c r="D24" s="5" t="s">
        <v>1344</v>
      </c>
      <c r="E24" s="5" t="s">
        <v>1345</v>
      </c>
      <c r="F24" s="5" t="s">
        <v>1346</v>
      </c>
      <c r="G24" s="5" t="s">
        <v>1347</v>
      </c>
    </row>
    <row r="25" customFormat="false" ht="15" hidden="false" customHeight="false" outlineLevel="0" collapsed="false">
      <c r="A25" s="38" t="n">
        <v>100000000</v>
      </c>
      <c r="C25" s="42" t="n">
        <f aca="false">C7/A25</f>
        <v>0.05052025</v>
      </c>
      <c r="D25" s="42" t="n">
        <f aca="false">D7/A25</f>
        <v>0.0554913333333333</v>
      </c>
      <c r="E25" s="42" t="n">
        <f aca="false">E7/A25</f>
        <v>0.048653</v>
      </c>
      <c r="F25" s="32" t="str">
        <f aca="false">IF(MIN(C25:E25)&lt;Budget_Params!$B$5,"Below floor",IF(MAX(C25:E25)&gt;Budget_Params!$B$7,"Above ceiling - phase or cut","Within band"))</f>
        <v>Within band</v>
      </c>
      <c r="G25" s="43" t="n">
        <f aca="false">Budget_Params!$B$18*A25</f>
        <v>12000000</v>
      </c>
    </row>
    <row r="26" customFormat="false" ht="15" hidden="false" customHeight="false" outlineLevel="0" collapsed="false">
      <c r="A26" s="38" t="n">
        <v>75000000</v>
      </c>
      <c r="C26" s="42" t="n">
        <f aca="false">C7/A26</f>
        <v>0.0673603333333333</v>
      </c>
      <c r="D26" s="42" t="n">
        <f aca="false">D7/A26</f>
        <v>0.0739884444444445</v>
      </c>
      <c r="E26" s="42" t="n">
        <f aca="false">E7/A26</f>
        <v>0.0648706666666667</v>
      </c>
      <c r="F26" s="32" t="str">
        <f aca="false">IF(MIN(C26:E26)&lt;Budget_Params!$B$5,"Below floor",IF(MAX(C26:E26)&gt;Budget_Params!$B$7,"Above ceiling - phase or cut","Within band"))</f>
        <v>Within band</v>
      </c>
      <c r="G26" s="43" t="n">
        <f aca="false">Budget_Params!$B$18*A26</f>
        <v>9000000</v>
      </c>
    </row>
    <row r="27" customFormat="false" ht="15" hidden="false" customHeight="false" outlineLevel="0" collapsed="false">
      <c r="A27" s="38" t="n">
        <v>50000000</v>
      </c>
      <c r="C27" s="42" t="n">
        <f aca="false">C7/A27</f>
        <v>0.1010405</v>
      </c>
      <c r="D27" s="42" t="n">
        <f aca="false">D7/A27</f>
        <v>0.110982666666667</v>
      </c>
      <c r="E27" s="42" t="n">
        <f aca="false">E7/A27</f>
        <v>0.097306</v>
      </c>
      <c r="F27" s="32" t="str">
        <f aca="false">IF(MIN(C27:E27)&lt;Budget_Params!$B$5,"Below floor",IF(MAX(C27:E27)&gt;Budget_Params!$B$7,"Above ceiling - phase or cut","Within band"))</f>
        <v>Within band</v>
      </c>
      <c r="G27" s="43" t="n">
        <f aca="false">Budget_Params!$B$18*A27</f>
        <v>6000000</v>
      </c>
    </row>
    <row r="28" customFormat="false" ht="15" hidden="false" customHeight="false" outlineLevel="0" collapsed="false">
      <c r="A28" s="38" t="n">
        <v>25000000</v>
      </c>
      <c r="C28" s="42" t="n">
        <f aca="false">C7/A28</f>
        <v>0.202081</v>
      </c>
      <c r="D28" s="42" t="n">
        <f aca="false">D7/A28</f>
        <v>0.221965333333333</v>
      </c>
      <c r="E28" s="42" t="n">
        <f aca="false">E7/A28</f>
        <v>0.194612</v>
      </c>
      <c r="F28" s="32" t="str">
        <f aca="false">IF(MIN(C28:E28)&lt;Budget_Params!$B$5,"Below floor",IF(MAX(C28:E28)&gt;Budget_Params!$B$7,"Above ceiling - phase or cut","Within band"))</f>
        <v>Above ceiling - phase or cut</v>
      </c>
      <c r="G28" s="43" t="n">
        <f aca="false">Budget_Params!$B$18*A28</f>
        <v>3000000</v>
      </c>
    </row>
    <row r="29" customFormat="false" ht="15" hidden="false" customHeight="false" outlineLevel="0" collapsed="false">
      <c r="A29" s="38" t="n">
        <v>10000000</v>
      </c>
      <c r="C29" s="42" t="n">
        <f aca="false">C7/A29</f>
        <v>0.5052025</v>
      </c>
      <c r="D29" s="42" t="n">
        <f aca="false">D7/A29</f>
        <v>0.554913333333333</v>
      </c>
      <c r="E29" s="42" t="n">
        <f aca="false">E7/A29</f>
        <v>0.48653</v>
      </c>
      <c r="F29" s="32" t="str">
        <f aca="false">IF(MIN(C29:E29)&lt;Budget_Params!$B$5,"Below floor",IF(MAX(C29:E29)&gt;Budget_Params!$B$7,"Above ceiling - phase or cut","Within band"))</f>
        <v>Above ceiling - phase or cut</v>
      </c>
      <c r="G29" s="43" t="n">
        <f aca="false">Budget_Params!$B$18*A29</f>
        <v>1200000</v>
      </c>
    </row>
  </sheetData>
  <conditionalFormatting sqref="I4:I8">
    <cfRule type="cellIs" priority="2" operator="equal" aboveAverage="0" equalAverage="0" bottom="0" percent="0" rank="0" text="" dxfId="3">
      <formula>"Within band"</formula>
    </cfRule>
    <cfRule type="cellIs" priority="3" operator="notEqual" aboveAverage="0" equalAverage="0" bottom="0" percent="0" rank="0" text="" dxfId="4">
      <formula>"Within band"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4" min="3" style="0" width="10"/>
    <col collapsed="false" customWidth="true" hidden="false" outlineLevel="0" max="6" min="5" style="0" width="9"/>
    <col collapsed="false" customWidth="true" hidden="false" outlineLevel="0" max="7" min="7" style="0" width="11"/>
    <col collapsed="false" customWidth="true" hidden="false" outlineLevel="0" max="8" min="8" style="0" width="9"/>
    <col collapsed="false" customWidth="true" hidden="false" outlineLevel="0" max="9" min="9" style="0" width="22"/>
    <col collapsed="false" customWidth="true" hidden="false" outlineLevel="0" max="11" min="10" style="0" width="9"/>
    <col collapsed="false" customWidth="true" hidden="false" outlineLevel="0" max="12" min="12" style="0" width="11"/>
    <col collapsed="false" customWidth="true" hidden="false" outlineLevel="0" max="13" min="13" style="0" width="9"/>
    <col collapsed="false" customWidth="true" hidden="false" outlineLevel="0" max="14" min="14" style="0" width="22"/>
  </cols>
  <sheetData>
    <row r="1" customFormat="false" ht="17.35" hidden="false" customHeight="false" outlineLevel="0" collapsed="false">
      <c r="A1" s="31" t="s">
        <v>1348</v>
      </c>
    </row>
    <row r="3" customFormat="false" ht="35.05" hidden="false" customHeight="false" outlineLevel="0" collapsed="false">
      <c r="A3" s="5" t="s">
        <v>27</v>
      </c>
      <c r="B3" s="5" t="s">
        <v>28</v>
      </c>
      <c r="C3" s="5" t="s">
        <v>307</v>
      </c>
      <c r="D3" s="5" t="s">
        <v>308</v>
      </c>
      <c r="E3" s="5" t="s">
        <v>1349</v>
      </c>
      <c r="F3" s="5" t="s">
        <v>1350</v>
      </c>
      <c r="G3" s="5" t="s">
        <v>1351</v>
      </c>
      <c r="H3" s="5" t="s">
        <v>1352</v>
      </c>
      <c r="I3" s="5" t="s">
        <v>1353</v>
      </c>
      <c r="J3" s="5" t="s">
        <v>1354</v>
      </c>
      <c r="K3" s="5" t="s">
        <v>1355</v>
      </c>
      <c r="L3" s="5" t="s">
        <v>1356</v>
      </c>
      <c r="M3" s="5" t="s">
        <v>1357</v>
      </c>
      <c r="N3" s="5" t="s">
        <v>1358</v>
      </c>
    </row>
    <row r="4" customFormat="false" ht="23.85" hidden="false" customHeight="false" outlineLevel="0" collapsed="false">
      <c r="A4" s="46" t="str">
        <f aca="false">Analyse!A5</f>
        <v>S1</v>
      </c>
      <c r="B4" s="7" t="str">
        <f aca="false">Analyse!B5</f>
        <v>Credential compromise of clinical administrator accounts through phishing and MFA fatigue</v>
      </c>
      <c r="C4" s="47" t="n">
        <f aca="false">Analyse!L5</f>
        <v>6467.278125</v>
      </c>
      <c r="D4" s="47" t="n">
        <f aca="false">Analyse!M5</f>
        <v>2771.690625</v>
      </c>
      <c r="E4" s="35" t="n">
        <f aca="false">Inputs!K4</f>
        <v>0.8</v>
      </c>
      <c r="F4" s="35" t="n">
        <f aca="false">Inputs!L4</f>
        <v>0.75</v>
      </c>
      <c r="G4" s="48" t="n">
        <f aca="false">C4*(1-E4*F4)</f>
        <v>2586.91125</v>
      </c>
      <c r="H4" s="44" t="n">
        <f aca="false">G4/D4</f>
        <v>0.933333333333333</v>
      </c>
      <c r="I4" s="32" t="str">
        <f aca="false">IF(H4&lt;Parameters!$B$6,"Below tolerance",IF(H4&lt;=Parameters!$B$7,"Approximately at tolerance","Above tolerance"))</f>
        <v>Approximately at tolerance</v>
      </c>
      <c r="J4" s="36" t="n">
        <v>0.85</v>
      </c>
      <c r="K4" s="36" t="n">
        <v>0.8</v>
      </c>
      <c r="L4" s="48" t="n">
        <f aca="false">C4*(1-J4*K4)</f>
        <v>2069.529</v>
      </c>
      <c r="M4" s="44" t="n">
        <f aca="false">L4/D4</f>
        <v>0.746666666666667</v>
      </c>
      <c r="N4" s="32" t="str">
        <f aca="false">IF(M4&lt;Parameters!$B$6,"Below tolerance",IF(M4&lt;=Parameters!$B$7,"Approximately at tolerance","Above tolerance"))</f>
        <v>Below tolerance</v>
      </c>
    </row>
    <row r="5" customFormat="false" ht="23.85" hidden="false" customHeight="false" outlineLevel="0" collapsed="false">
      <c r="A5" s="46" t="str">
        <f aca="false">Analyse!A6</f>
        <v>S2</v>
      </c>
      <c r="B5" s="7" t="str">
        <f aca="false">Analyse!B6</f>
        <v>Ransomware disrupting EHR access and clinic operations across the network</v>
      </c>
      <c r="C5" s="47" t="n">
        <f aca="false">Analyse!L6</f>
        <v>7809.50892857143</v>
      </c>
      <c r="D5" s="47" t="n">
        <f aca="false">Analyse!M6</f>
        <v>2839.82142857143</v>
      </c>
      <c r="E5" s="35" t="n">
        <f aca="false">Inputs!K5</f>
        <v>0.75</v>
      </c>
      <c r="F5" s="35" t="n">
        <f aca="false">Inputs!L5</f>
        <v>0.75</v>
      </c>
      <c r="G5" s="48" t="n">
        <f aca="false">C5*(1-E5*F5)</f>
        <v>3416.66015625</v>
      </c>
      <c r="H5" s="44" t="n">
        <f aca="false">G5/D5</f>
        <v>1.203125</v>
      </c>
      <c r="I5" s="32" t="str">
        <f aca="false">IF(H5&lt;Parameters!$B$6,"Below tolerance",IF(H5&lt;=Parameters!$B$7,"Approximately at tolerance","Above tolerance"))</f>
        <v>Above tolerance</v>
      </c>
      <c r="J5" s="36" t="n">
        <v>0.8</v>
      </c>
      <c r="K5" s="36" t="n">
        <v>0.8</v>
      </c>
      <c r="L5" s="48" t="n">
        <f aca="false">C5*(1-J5*K5)</f>
        <v>2811.42321428571</v>
      </c>
      <c r="M5" s="44" t="n">
        <f aca="false">L5/D5</f>
        <v>0.989999999999999</v>
      </c>
      <c r="N5" s="32" t="str">
        <f aca="false">IF(M5&lt;Parameters!$B$6,"Below tolerance",IF(M5&lt;=Parameters!$B$7,"Approximately at tolerance","Above tolerance"))</f>
        <v>Approximately at tolerance</v>
      </c>
    </row>
    <row r="6" customFormat="false" ht="23.85" hidden="false" customHeight="false" outlineLevel="0" collapsed="false">
      <c r="A6" s="46" t="str">
        <f aca="false">Analyse!A7</f>
        <v>S3</v>
      </c>
      <c r="B6" s="7" t="str">
        <f aca="false">Analyse!B7</f>
        <v>Backup environment compromised, preventing recovery after a destructive attack</v>
      </c>
      <c r="C6" s="47" t="n">
        <f aca="false">Analyse!L7</f>
        <v>4879.28571428572</v>
      </c>
      <c r="D6" s="47" t="n">
        <f aca="false">Analyse!M7</f>
        <v>1951.71428571429</v>
      </c>
      <c r="E6" s="35" t="n">
        <f aca="false">Inputs!K6</f>
        <v>0.8</v>
      </c>
      <c r="F6" s="35" t="n">
        <f aca="false">Inputs!L6</f>
        <v>0.85</v>
      </c>
      <c r="G6" s="48" t="n">
        <f aca="false">C6*(1-E6*F6)</f>
        <v>1561.37142857143</v>
      </c>
      <c r="H6" s="44" t="n">
        <f aca="false">G6/D6</f>
        <v>0.8</v>
      </c>
      <c r="I6" s="32" t="str">
        <f aca="false">IF(H6&lt;Parameters!$B$6,"Below tolerance",IF(H6&lt;=Parameters!$B$7,"Approximately at tolerance","Above tolerance"))</f>
        <v>Below tolerance</v>
      </c>
      <c r="J6" s="36" t="n">
        <v>0.85</v>
      </c>
      <c r="K6" s="36" t="n">
        <v>0.9</v>
      </c>
      <c r="L6" s="48" t="n">
        <f aca="false">C6*(1-J6*K6)</f>
        <v>1146.63214285714</v>
      </c>
      <c r="M6" s="44" t="n">
        <f aca="false">L6/D6</f>
        <v>0.5875</v>
      </c>
      <c r="N6" s="32" t="str">
        <f aca="false">IF(M6&lt;Parameters!$B$6,"Below tolerance",IF(M6&lt;=Parameters!$B$7,"Approximately at tolerance","Above tolerance"))</f>
        <v>Below tolerance</v>
      </c>
    </row>
    <row r="7" customFormat="false" ht="23.85" hidden="false" customHeight="false" outlineLevel="0" collapsed="false">
      <c r="A7" s="46" t="str">
        <f aca="false">Analyse!A8</f>
        <v>S4</v>
      </c>
      <c r="B7" s="7" t="str">
        <f aca="false">Analyse!B8</f>
        <v>Cloud medical-image transfer storage exposed, enabling bulk health-data exfiltration</v>
      </c>
      <c r="C7" s="47" t="n">
        <f aca="false">Analyse!L8</f>
        <v>2972.953125</v>
      </c>
      <c r="D7" s="47" t="n">
        <f aca="false">Analyse!M8</f>
        <v>1321.3125</v>
      </c>
      <c r="E7" s="35" t="n">
        <f aca="false">Inputs!K7</f>
        <v>0.85</v>
      </c>
      <c r="F7" s="35" t="n">
        <f aca="false">Inputs!L7</f>
        <v>0.7</v>
      </c>
      <c r="G7" s="48" t="n">
        <f aca="false">C7*(1-E7*F7)</f>
        <v>1204.046015625</v>
      </c>
      <c r="H7" s="44" t="n">
        <f aca="false">G7/D7</f>
        <v>0.91125</v>
      </c>
      <c r="I7" s="32" t="str">
        <f aca="false">IF(H7&lt;Parameters!$B$6,"Below tolerance",IF(H7&lt;=Parameters!$B$7,"Approximately at tolerance","Above tolerance"))</f>
        <v>Approximately at tolerance</v>
      </c>
      <c r="J7" s="36" t="n">
        <v>0.9</v>
      </c>
      <c r="K7" s="36" t="n">
        <v>0.75</v>
      </c>
      <c r="L7" s="48" t="n">
        <f aca="false">C7*(1-J7*K7)</f>
        <v>966.209765625</v>
      </c>
      <c r="M7" s="44" t="n">
        <f aca="false">L7/D7</f>
        <v>0.73125</v>
      </c>
      <c r="N7" s="32" t="str">
        <f aca="false">IF(M7&lt;Parameters!$B$6,"Below tolerance",IF(M7&lt;=Parameters!$B$7,"Approximately at tolerance","Above tolerance"))</f>
        <v>Below tolerance</v>
      </c>
    </row>
    <row r="8" customFormat="false" ht="23.85" hidden="false" customHeight="false" outlineLevel="0" collapsed="false">
      <c r="A8" s="46" t="str">
        <f aca="false">Analyse!A9</f>
        <v>S5</v>
      </c>
      <c r="B8" s="7" t="str">
        <f aca="false">Analyse!B9</f>
        <v>Misuse of legitimate clinical, privileged or service-account access to extract patient records</v>
      </c>
      <c r="C8" s="47" t="n">
        <f aca="false">Analyse!L9</f>
        <v>2811.6</v>
      </c>
      <c r="D8" s="47" t="n">
        <f aca="false">Analyse!M9</f>
        <v>1405.8</v>
      </c>
      <c r="E8" s="35" t="n">
        <f aca="false">Inputs!K8</f>
        <v>0.6</v>
      </c>
      <c r="F8" s="35" t="n">
        <f aca="false">Inputs!L8</f>
        <v>0.65</v>
      </c>
      <c r="G8" s="48" t="n">
        <f aca="false">C8*(1-E8*F8)</f>
        <v>1715.076</v>
      </c>
      <c r="H8" s="44" t="n">
        <f aca="false">G8/D8</f>
        <v>1.22</v>
      </c>
      <c r="I8" s="32" t="str">
        <f aca="false">IF(H8&lt;Parameters!$B$6,"Below tolerance",IF(H8&lt;=Parameters!$B$7,"Approximately at tolerance","Above tolerance"))</f>
        <v>Above tolerance</v>
      </c>
      <c r="J8" s="36" t="n">
        <v>0.7</v>
      </c>
      <c r="K8" s="36" t="n">
        <v>0.7</v>
      </c>
      <c r="L8" s="48" t="n">
        <f aca="false">C8*(1-J8*K8)</f>
        <v>1433.916</v>
      </c>
      <c r="M8" s="44" t="n">
        <f aca="false">L8/D8</f>
        <v>1.02</v>
      </c>
      <c r="N8" s="32" t="str">
        <f aca="false">IF(M8&lt;Parameters!$B$6,"Below tolerance",IF(M8&lt;=Parameters!$B$7,"Approximately at tolerance","Above tolerance"))</f>
        <v>Approximately at tolerance</v>
      </c>
    </row>
    <row r="9" customFormat="false" ht="23.85" hidden="false" customHeight="false" outlineLevel="0" collapsed="false">
      <c r="A9" s="46" t="str">
        <f aca="false">Analyse!A10</f>
        <v>S6</v>
      </c>
      <c r="B9" s="7" t="str">
        <f aca="false">Analyse!B10</f>
        <v>Exploitation of unpatched internet-facing or end-of-life systems</v>
      </c>
      <c r="C9" s="47" t="n">
        <f aca="false">Analyse!L10</f>
        <v>6375</v>
      </c>
      <c r="D9" s="47" t="n">
        <f aca="false">Analyse!M10</f>
        <v>2550</v>
      </c>
      <c r="E9" s="35" t="n">
        <f aca="false">Inputs!K9</f>
        <v>0.85</v>
      </c>
      <c r="F9" s="35" t="n">
        <f aca="false">Inputs!L9</f>
        <v>0.7</v>
      </c>
      <c r="G9" s="48" t="n">
        <f aca="false">C9*(1-E9*F9)</f>
        <v>2581.875</v>
      </c>
      <c r="H9" s="44" t="n">
        <f aca="false">G9/D9</f>
        <v>1.0125</v>
      </c>
      <c r="I9" s="32" t="str">
        <f aca="false">IF(H9&lt;Parameters!$B$6,"Below tolerance",IF(H9&lt;=Parameters!$B$7,"Approximately at tolerance","Above tolerance"))</f>
        <v>Approximately at tolerance</v>
      </c>
      <c r="J9" s="36" t="n">
        <v>0.9</v>
      </c>
      <c r="K9" s="36" t="n">
        <v>0.7</v>
      </c>
      <c r="L9" s="48" t="n">
        <f aca="false">C9*(1-J9*K9)</f>
        <v>2358.75</v>
      </c>
      <c r="M9" s="44" t="n">
        <f aca="false">L9/D9</f>
        <v>0.925</v>
      </c>
      <c r="N9" s="32" t="str">
        <f aca="false">IF(M9&lt;Parameters!$B$6,"Below tolerance",IF(M9&lt;=Parameters!$B$7,"Approximately at tolerance","Above tolerance"))</f>
        <v>Approximately at tolerance</v>
      </c>
    </row>
    <row r="10" customFormat="false" ht="23.85" hidden="false" customHeight="false" outlineLevel="0" collapsed="false">
      <c r="A10" s="46" t="str">
        <f aca="false">Analyse!A11</f>
        <v>S7</v>
      </c>
      <c r="B10" s="7" t="str">
        <f aca="false">Analyse!B11</f>
        <v>Connected medical device used as a foothold to disrupt clinical equipment and reach the EHR network</v>
      </c>
      <c r="C10" s="47" t="n">
        <f aca="false">Analyse!L11</f>
        <v>3775.17857142857</v>
      </c>
      <c r="D10" s="47" t="n">
        <f aca="false">Analyse!M11</f>
        <v>1510.07142857143</v>
      </c>
      <c r="E10" s="35" t="n">
        <f aca="false">Inputs!K10</f>
        <v>0.7</v>
      </c>
      <c r="F10" s="35" t="n">
        <f aca="false">Inputs!L10</f>
        <v>0.6</v>
      </c>
      <c r="G10" s="48" t="n">
        <f aca="false">C10*(1-E10*F10)</f>
        <v>2189.60357142857</v>
      </c>
      <c r="H10" s="44" t="n">
        <f aca="false">G10/D10</f>
        <v>1.45</v>
      </c>
      <c r="I10" s="32" t="str">
        <f aca="false">IF(H10&lt;Parameters!$B$6,"Below tolerance",IF(H10&lt;=Parameters!$B$7,"Approximately at tolerance","Above tolerance"))</f>
        <v>Above tolerance</v>
      </c>
      <c r="J10" s="36" t="n">
        <v>0.8</v>
      </c>
      <c r="K10" s="36" t="n">
        <v>0.72</v>
      </c>
      <c r="L10" s="48" t="n">
        <f aca="false">C10*(1-J10*K10)</f>
        <v>1600.67571428571</v>
      </c>
      <c r="M10" s="44" t="n">
        <f aca="false">L10/D10</f>
        <v>1.06</v>
      </c>
      <c r="N10" s="32" t="str">
        <f aca="false">IF(M10&lt;Parameters!$B$6,"Below tolerance",IF(M10&lt;=Parameters!$B$7,"Approximately at tolerance","Above tolerance"))</f>
        <v>Approximately at tolerance</v>
      </c>
    </row>
    <row r="11" customFormat="false" ht="23.85" hidden="false" customHeight="false" outlineLevel="0" collapsed="false">
      <c r="A11" s="46" t="str">
        <f aca="false">Analyse!A12</f>
        <v>S8</v>
      </c>
      <c r="B11" s="7" t="str">
        <f aca="false">Analyse!B12</f>
        <v>Detection and response gaps allow an intrusion to persist and escalate</v>
      </c>
      <c r="C11" s="47" t="n">
        <f aca="false">Analyse!L12</f>
        <v>9384</v>
      </c>
      <c r="D11" s="47" t="n">
        <f aca="false">Analyse!M12</f>
        <v>3753.6</v>
      </c>
      <c r="E11" s="35" t="n">
        <f aca="false">Inputs!K11</f>
        <v>0.7</v>
      </c>
      <c r="F11" s="35" t="n">
        <f aca="false">Inputs!L11</f>
        <v>0.8</v>
      </c>
      <c r="G11" s="48" t="n">
        <f aca="false">C11*(1-E11*F11)</f>
        <v>4128.96</v>
      </c>
      <c r="H11" s="44" t="n">
        <f aca="false">G11/D11</f>
        <v>1.1</v>
      </c>
      <c r="I11" s="32" t="str">
        <f aca="false">IF(H11&lt;Parameters!$B$6,"Below tolerance",IF(H11&lt;=Parameters!$B$7,"Approximately at tolerance","Above tolerance"))</f>
        <v>Approximately at tolerance</v>
      </c>
      <c r="J11" s="36" t="n">
        <v>0.75</v>
      </c>
      <c r="K11" s="36" t="n">
        <v>0.8</v>
      </c>
      <c r="L11" s="48" t="n">
        <f aca="false">C11*(1-J11*K11)</f>
        <v>3753.6</v>
      </c>
      <c r="M11" s="44" t="n">
        <f aca="false">L11/D11</f>
        <v>1</v>
      </c>
      <c r="N11" s="32" t="str">
        <f aca="false">IF(M11&lt;Parameters!$B$6,"Below tolerance",IF(M11&lt;=Parameters!$B$7,"Approximately at tolerance","Above tolerance"))</f>
        <v>Approximately at tolerance</v>
      </c>
    </row>
    <row r="12" customFormat="false" ht="23.85" hidden="false" customHeight="false" outlineLevel="0" collapsed="false">
      <c r="A12" s="46" t="str">
        <f aca="false">Analyse!A13</f>
        <v>S9</v>
      </c>
      <c r="B12" s="7" t="str">
        <f aca="false">Analyse!B13</f>
        <v>Compromise of a critical vendor with remote access to MediBec systems</v>
      </c>
      <c r="C12" s="47" t="n">
        <f aca="false">Analyse!L13</f>
        <v>4057.23214285714</v>
      </c>
      <c r="D12" s="47" t="n">
        <f aca="false">Analyse!M13</f>
        <v>1622.89285714286</v>
      </c>
      <c r="E12" s="35" t="n">
        <f aca="false">Inputs!K12</f>
        <v>0.55</v>
      </c>
      <c r="F12" s="35" t="n">
        <f aca="false">Inputs!L12</f>
        <v>0.7</v>
      </c>
      <c r="G12" s="48" t="n">
        <f aca="false">C12*(1-E12*F12)</f>
        <v>2495.19776785714</v>
      </c>
      <c r="H12" s="44" t="n">
        <f aca="false">G12/D12</f>
        <v>1.5375</v>
      </c>
      <c r="I12" s="32" t="str">
        <f aca="false">IF(H12&lt;Parameters!$B$6,"Below tolerance",IF(H12&lt;=Parameters!$B$7,"Approximately at tolerance","Above tolerance"))</f>
        <v>Above tolerance</v>
      </c>
      <c r="J12" s="36" t="n">
        <v>0.6</v>
      </c>
      <c r="K12" s="36" t="n">
        <v>0.75</v>
      </c>
      <c r="L12" s="48" t="n">
        <f aca="false">C12*(1-J12*K12)</f>
        <v>2231.47767857143</v>
      </c>
      <c r="M12" s="44" t="n">
        <f aca="false">L12/D12</f>
        <v>1.375</v>
      </c>
      <c r="N12" s="32" t="str">
        <f aca="false">IF(M12&lt;Parameters!$B$6,"Below tolerance",IF(M12&lt;=Parameters!$B$7,"Approximately at tolerance","Above tolerance"))</f>
        <v>Above tolerance</v>
      </c>
    </row>
    <row r="13" customFormat="false" ht="23.85" hidden="false" customHeight="false" outlineLevel="0" collapsed="false">
      <c r="A13" s="46" t="str">
        <f aca="false">Analyse!A14</f>
        <v>S10</v>
      </c>
      <c r="B13" s="7" t="str">
        <f aca="false">Analyse!B14</f>
        <v>Manipulation of patient, medication or billing records undermining clinical decisions</v>
      </c>
      <c r="C13" s="47" t="n">
        <f aca="false">Analyse!L14</f>
        <v>1774.125</v>
      </c>
      <c r="D13" s="47" t="n">
        <f aca="false">Analyse!M14</f>
        <v>709.65</v>
      </c>
      <c r="E13" s="35" t="n">
        <f aca="false">Inputs!K13</f>
        <v>0.7</v>
      </c>
      <c r="F13" s="35" t="n">
        <f aca="false">Inputs!L13</f>
        <v>0.75</v>
      </c>
      <c r="G13" s="48" t="n">
        <f aca="false">C13*(1-E13*F13)</f>
        <v>842.709375</v>
      </c>
      <c r="H13" s="44" t="n">
        <f aca="false">G13/D13</f>
        <v>1.1875</v>
      </c>
      <c r="I13" s="32" t="str">
        <f aca="false">IF(H13&lt;Parameters!$B$6,"Below tolerance",IF(H13&lt;=Parameters!$B$7,"Approximately at tolerance","Above tolerance"))</f>
        <v>Above tolerance</v>
      </c>
      <c r="J13" s="36" t="n">
        <v>0.75</v>
      </c>
      <c r="K13" s="36" t="n">
        <v>0.8</v>
      </c>
      <c r="L13" s="48" t="n">
        <f aca="false">C13*(1-J13*K13)</f>
        <v>709.65</v>
      </c>
      <c r="M13" s="44" t="n">
        <f aca="false">L13/D13</f>
        <v>1</v>
      </c>
      <c r="N13" s="32" t="str">
        <f aca="false">IF(M13&lt;Parameters!$B$6,"Below tolerance",IF(M13&lt;=Parameters!$B$7,"Approximately at tolerance","Above tolerance"))</f>
        <v>Approximately at tolerance</v>
      </c>
    </row>
    <row r="14" customFormat="false" ht="23.85" hidden="false" customHeight="false" outlineLevel="0" collapsed="false">
      <c r="A14" s="46" t="str">
        <f aca="false">Analyse!A15</f>
        <v>S11</v>
      </c>
      <c r="B14" s="7" t="str">
        <f aca="false">Analyse!B15</f>
        <v>API key or secret exposed in code, logs or configuration enables direct data access</v>
      </c>
      <c r="C14" s="47" t="n">
        <f aca="false">Analyse!L15</f>
        <v>2048.4140625</v>
      </c>
      <c r="D14" s="47" t="n">
        <f aca="false">Analyse!M15</f>
        <v>945.421875</v>
      </c>
      <c r="E14" s="35" t="n">
        <f aca="false">Inputs!K14</f>
        <v>0.85</v>
      </c>
      <c r="F14" s="35" t="n">
        <f aca="false">Inputs!L14</f>
        <v>0.6</v>
      </c>
      <c r="G14" s="48" t="n">
        <f aca="false">C14*(1-E14*F14)</f>
        <v>1003.722890625</v>
      </c>
      <c r="H14" s="44" t="n">
        <f aca="false">G14/D14</f>
        <v>1.06166666666667</v>
      </c>
      <c r="I14" s="32" t="str">
        <f aca="false">IF(H14&lt;Parameters!$B$6,"Below tolerance",IF(H14&lt;=Parameters!$B$7,"Approximately at tolerance","Above tolerance"))</f>
        <v>Approximately at tolerance</v>
      </c>
      <c r="J14" s="36" t="n">
        <v>0.9</v>
      </c>
      <c r="K14" s="36" t="n">
        <v>0.7</v>
      </c>
      <c r="L14" s="48" t="n">
        <f aca="false">C14*(1-J14*K14)</f>
        <v>757.913203125</v>
      </c>
      <c r="M14" s="44" t="n">
        <f aca="false">L14/D14</f>
        <v>0.801666666666667</v>
      </c>
      <c r="N14" s="32" t="str">
        <f aca="false">IF(M14&lt;Parameters!$B$6,"Below tolerance",IF(M14&lt;=Parameters!$B$7,"Approximately at tolerance","Above tolerance"))</f>
        <v>Below tolerance</v>
      </c>
    </row>
    <row r="15" customFormat="false" ht="23.85" hidden="false" customHeight="false" outlineLevel="0" collapsed="false">
      <c r="A15" s="46" t="str">
        <f aca="false">Analyse!A16</f>
        <v>S12</v>
      </c>
      <c r="B15" s="7" t="str">
        <f aca="false">Analyse!B16</f>
        <v>Clinic Wi-Fi compromise or rogue access point gives access to the clinical network</v>
      </c>
      <c r="C15" s="47" t="n">
        <f aca="false">Analyse!L16</f>
        <v>1159.2</v>
      </c>
      <c r="D15" s="47" t="n">
        <f aca="false">Analyse!M16</f>
        <v>604.8</v>
      </c>
      <c r="E15" s="35" t="n">
        <f aca="false">Inputs!K15</f>
        <v>0.8</v>
      </c>
      <c r="F15" s="35" t="n">
        <f aca="false">Inputs!L15</f>
        <v>0.65</v>
      </c>
      <c r="G15" s="48" t="n">
        <f aca="false">C15*(1-E15*F15)</f>
        <v>556.416</v>
      </c>
      <c r="H15" s="44" t="n">
        <f aca="false">G15/D15</f>
        <v>0.92</v>
      </c>
      <c r="I15" s="32" t="str">
        <f aca="false">IF(H15&lt;Parameters!$B$6,"Below tolerance",IF(H15&lt;=Parameters!$B$7,"Approximately at tolerance","Above tolerance"))</f>
        <v>Approximately at tolerance</v>
      </c>
      <c r="J15" s="36" t="n">
        <v>0.8</v>
      </c>
      <c r="K15" s="36" t="n">
        <v>0.65</v>
      </c>
      <c r="L15" s="48" t="n">
        <f aca="false">C15*(1-J15*K15)</f>
        <v>556.416</v>
      </c>
      <c r="M15" s="44" t="n">
        <f aca="false">L15/D15</f>
        <v>0.92</v>
      </c>
      <c r="N15" s="32" t="str">
        <f aca="false">IF(M15&lt;Parameters!$B$6,"Below tolerance",IF(M15&lt;=Parameters!$B$7,"Approximately at tolerance","Above tolerance"))</f>
        <v>Approximately at tolerance</v>
      </c>
    </row>
    <row r="16" customFormat="false" ht="23.85" hidden="false" customHeight="false" outlineLevel="0" collapsed="false">
      <c r="A16" s="46" t="str">
        <f aca="false">Analyse!A17</f>
        <v>S13</v>
      </c>
      <c r="B16" s="7" t="str">
        <f aca="false">Analyse!B17</f>
        <v>DDoS attack disrupts online booking, patient portal and communications</v>
      </c>
      <c r="C16" s="47" t="n">
        <f aca="false">Analyse!L17</f>
        <v>1355.75</v>
      </c>
      <c r="D16" s="47" t="n">
        <f aca="false">Analyse!M17</f>
        <v>957</v>
      </c>
      <c r="E16" s="35" t="n">
        <f aca="false">Inputs!K16</f>
        <v>0.8</v>
      </c>
      <c r="F16" s="35" t="n">
        <f aca="false">Inputs!L16</f>
        <v>0.7</v>
      </c>
      <c r="G16" s="48" t="n">
        <f aca="false">C16*(1-E16*F16)</f>
        <v>596.53</v>
      </c>
      <c r="H16" s="44" t="n">
        <f aca="false">G16/D16</f>
        <v>0.623333333333334</v>
      </c>
      <c r="I16" s="32" t="str">
        <f aca="false">IF(H16&lt;Parameters!$B$6,"Below tolerance",IF(H16&lt;=Parameters!$B$7,"Approximately at tolerance","Above tolerance"))</f>
        <v>Below tolerance</v>
      </c>
      <c r="J16" s="36" t="n">
        <v>0.8</v>
      </c>
      <c r="K16" s="36" t="n">
        <v>0.7</v>
      </c>
      <c r="L16" s="48" t="n">
        <f aca="false">C16*(1-J16*K16)</f>
        <v>596.53</v>
      </c>
      <c r="M16" s="44" t="n">
        <f aca="false">L16/D16</f>
        <v>0.623333333333334</v>
      </c>
      <c r="N16" s="32" t="str">
        <f aca="false">IF(M16&lt;Parameters!$B$6,"Below tolerance",IF(M16&lt;=Parameters!$B$7,"Approximately at tolerance","Above tolerance"))</f>
        <v>Below tolerance</v>
      </c>
    </row>
    <row r="17" customFormat="false" ht="23.85" hidden="false" customHeight="false" outlineLevel="0" collapsed="false">
      <c r="A17" s="46" t="str">
        <f aca="false">Analyse!A18</f>
        <v>S14</v>
      </c>
      <c r="B17" s="7" t="str">
        <f aca="false">Analyse!B18</f>
        <v>Business e-mail compromise diverts vendor or billing payments</v>
      </c>
      <c r="C17" s="47" t="n">
        <f aca="false">Analyse!L18</f>
        <v>769.816666666667</v>
      </c>
      <c r="D17" s="47" t="n">
        <f aca="false">Analyse!M18</f>
        <v>486.2</v>
      </c>
      <c r="E17" s="35" t="n">
        <f aca="false">Inputs!K17</f>
        <v>0.8</v>
      </c>
      <c r="F17" s="35" t="n">
        <f aca="false">Inputs!L17</f>
        <v>0.6</v>
      </c>
      <c r="G17" s="48" t="n">
        <f aca="false">C17*(1-E17*F17)</f>
        <v>400.304666666667</v>
      </c>
      <c r="H17" s="44" t="n">
        <f aca="false">G17/D17</f>
        <v>0.823333333333333</v>
      </c>
      <c r="I17" s="32" t="str">
        <f aca="false">IF(H17&lt;Parameters!$B$6,"Below tolerance",IF(H17&lt;=Parameters!$B$7,"Approximately at tolerance","Above tolerance"))</f>
        <v>Below tolerance</v>
      </c>
      <c r="J17" s="36" t="n">
        <v>0.8</v>
      </c>
      <c r="K17" s="36" t="n">
        <v>0.6</v>
      </c>
      <c r="L17" s="48" t="n">
        <f aca="false">C17*(1-J17*K17)</f>
        <v>400.304666666667</v>
      </c>
      <c r="M17" s="44" t="n">
        <f aca="false">L17/D17</f>
        <v>0.823333333333333</v>
      </c>
      <c r="N17" s="32" t="str">
        <f aca="false">IF(M17&lt;Parameters!$B$6,"Below tolerance",IF(M17&lt;=Parameters!$B$7,"Approximately at tolerance","Above tolerance"))</f>
        <v>Below tolerance</v>
      </c>
    </row>
    <row r="18" customFormat="false" ht="15" hidden="false" customHeight="false" outlineLevel="0" collapsed="false">
      <c r="A18" s="46" t="str">
        <f aca="false">Analyse!A19</f>
        <v>S15</v>
      </c>
      <c r="B18" s="7" t="str">
        <f aca="false">Analyse!B19</f>
        <v>Lost or stolen tablet or handheld exposes patient data</v>
      </c>
      <c r="C18" s="47" t="n">
        <f aca="false">Analyse!L19</f>
        <v>571.2</v>
      </c>
      <c r="D18" s="47" t="n">
        <f aca="false">Analyse!M19</f>
        <v>428.4</v>
      </c>
      <c r="E18" s="35" t="n">
        <f aca="false">Inputs!K18</f>
        <v>0.75</v>
      </c>
      <c r="F18" s="35" t="n">
        <f aca="false">Inputs!L18</f>
        <v>0.8</v>
      </c>
      <c r="G18" s="48" t="n">
        <f aca="false">C18*(1-E18*F18)</f>
        <v>228.48</v>
      </c>
      <c r="H18" s="44" t="n">
        <f aca="false">G18/D18</f>
        <v>0.533333333333333</v>
      </c>
      <c r="I18" s="32" t="str">
        <f aca="false">IF(H18&lt;Parameters!$B$6,"Below tolerance",IF(H18&lt;=Parameters!$B$7,"Approximately at tolerance","Above tolerance"))</f>
        <v>Below tolerance</v>
      </c>
      <c r="J18" s="36" t="n">
        <v>0.75</v>
      </c>
      <c r="K18" s="36" t="n">
        <v>0.8</v>
      </c>
      <c r="L18" s="48" t="n">
        <f aca="false">C18*(1-J18*K18)</f>
        <v>228.48</v>
      </c>
      <c r="M18" s="44" t="n">
        <f aca="false">L18/D18</f>
        <v>0.533333333333333</v>
      </c>
      <c r="N18" s="32" t="str">
        <f aca="false">IF(M18&lt;Parameters!$B$6,"Below tolerance",IF(M18&lt;=Parameters!$B$7,"Approximately at tolerance","Above tolerance"))</f>
        <v>Below tolerance</v>
      </c>
    </row>
    <row r="19" customFormat="false" ht="23.85" hidden="false" customHeight="false" outlineLevel="0" collapsed="false">
      <c r="A19" s="46" t="str">
        <f aca="false">Analyse!A20</f>
        <v>S16</v>
      </c>
      <c r="B19" s="7" t="str">
        <f aca="false">Analyse!B20</f>
        <v>Loss of the Montreal hub or WAN isolates clinics from central clinical systems</v>
      </c>
      <c r="C19" s="47" t="n">
        <f aca="false">Analyse!L20</f>
        <v>2959.25</v>
      </c>
      <c r="D19" s="47" t="n">
        <f aca="false">Analyse!M20</f>
        <v>1268.25</v>
      </c>
      <c r="E19" s="35" t="n">
        <f aca="false">Inputs!K19</f>
        <v>0.7</v>
      </c>
      <c r="F19" s="35" t="n">
        <f aca="false">Inputs!L19</f>
        <v>0.65</v>
      </c>
      <c r="G19" s="48" t="n">
        <f aca="false">C19*(1-E19*F19)</f>
        <v>1612.79125</v>
      </c>
      <c r="H19" s="44" t="n">
        <f aca="false">G19/D19</f>
        <v>1.27166666666667</v>
      </c>
      <c r="I19" s="32" t="str">
        <f aca="false">IF(H19&lt;Parameters!$B$6,"Below tolerance",IF(H19&lt;=Parameters!$B$7,"Approximately at tolerance","Above tolerance"))</f>
        <v>Above tolerance</v>
      </c>
      <c r="J19" s="36" t="n">
        <v>0.85</v>
      </c>
      <c r="K19" s="36" t="n">
        <v>0.8</v>
      </c>
      <c r="L19" s="48" t="n">
        <f aca="false">C19*(1-J19*K19)</f>
        <v>946.96</v>
      </c>
      <c r="M19" s="44" t="n">
        <f aca="false">L19/D19</f>
        <v>0.746666666666667</v>
      </c>
      <c r="N19" s="32" t="str">
        <f aca="false">IF(M19&lt;Parameters!$B$6,"Below tolerance",IF(M19&lt;=Parameters!$B$7,"Approximately at tolerance","Above tolerance"))</f>
        <v>Below tolerance</v>
      </c>
    </row>
    <row r="20" customFormat="false" ht="23.85" hidden="false" customHeight="false" outlineLevel="0" collapsed="false">
      <c r="A20" s="46" t="str">
        <f aca="false">Analyse!A21</f>
        <v>S17</v>
      </c>
      <c r="B20" s="7" t="str">
        <f aca="false">Analyse!B21</f>
        <v>Unmanaged patient data on local clinic storage is exposed or lost</v>
      </c>
      <c r="C20" s="47" t="n">
        <f aca="false">Analyse!L21</f>
        <v>1266.890625</v>
      </c>
      <c r="D20" s="47" t="n">
        <f aca="false">Analyse!M21</f>
        <v>691.03125</v>
      </c>
      <c r="E20" s="35" t="n">
        <f aca="false">Inputs!K20</f>
        <v>0.7</v>
      </c>
      <c r="F20" s="35" t="n">
        <f aca="false">Inputs!L20</f>
        <v>0.7</v>
      </c>
      <c r="G20" s="48" t="n">
        <f aca="false">C20*(1-E20*F20)</f>
        <v>646.11421875</v>
      </c>
      <c r="H20" s="44" t="n">
        <f aca="false">G20/D20</f>
        <v>0.935</v>
      </c>
      <c r="I20" s="32" t="str">
        <f aca="false">IF(H20&lt;Parameters!$B$6,"Below tolerance",IF(H20&lt;=Parameters!$B$7,"Approximately at tolerance","Above tolerance"))</f>
        <v>Approximately at tolerance</v>
      </c>
      <c r="J20" s="36" t="n">
        <v>0.8</v>
      </c>
      <c r="K20" s="36" t="n">
        <v>0.75</v>
      </c>
      <c r="L20" s="48" t="n">
        <f aca="false">C20*(1-J20*K20)</f>
        <v>506.75625</v>
      </c>
      <c r="M20" s="44" t="n">
        <f aca="false">L20/D20</f>
        <v>0.733333333333333</v>
      </c>
      <c r="N20" s="32" t="str">
        <f aca="false">IF(M20&lt;Parameters!$B$6,"Below tolerance",IF(M20&lt;=Parameters!$B$7,"Approximately at tolerance","Above tolerance"))</f>
        <v>Below tolerance</v>
      </c>
    </row>
    <row r="21" customFormat="false" ht="23.85" hidden="false" customHeight="false" outlineLevel="0" collapsed="false">
      <c r="A21" s="46" t="str">
        <f aca="false">Analyse!A22</f>
        <v>S18</v>
      </c>
      <c r="B21" s="7" t="str">
        <f aca="false">Analyse!B22</f>
        <v>Web application flaw in the patient portal exposes other patients' records</v>
      </c>
      <c r="C21" s="47" t="n">
        <f aca="false">Analyse!L22</f>
        <v>1572.5390625</v>
      </c>
      <c r="D21" s="47" t="n">
        <f aca="false">Analyse!M22</f>
        <v>698.90625</v>
      </c>
      <c r="E21" s="35" t="n">
        <f aca="false">Inputs!K21</f>
        <v>0.8</v>
      </c>
      <c r="F21" s="35" t="n">
        <f aca="false">Inputs!L21</f>
        <v>0.6</v>
      </c>
      <c r="G21" s="48" t="n">
        <f aca="false">C21*(1-E21*F21)</f>
        <v>817.7203125</v>
      </c>
      <c r="H21" s="44" t="n">
        <f aca="false">G21/D21</f>
        <v>1.17</v>
      </c>
      <c r="I21" s="32" t="str">
        <f aca="false">IF(H21&lt;Parameters!$B$6,"Below tolerance",IF(H21&lt;=Parameters!$B$7,"Approximately at tolerance","Above tolerance"))</f>
        <v>Above tolerance</v>
      </c>
      <c r="J21" s="36" t="n">
        <v>0.85</v>
      </c>
      <c r="K21" s="36" t="n">
        <v>0.7</v>
      </c>
      <c r="L21" s="48" t="n">
        <f aca="false">C21*(1-J21*K21)</f>
        <v>636.8783203125</v>
      </c>
      <c r="M21" s="44" t="n">
        <f aca="false">L21/D21</f>
        <v>0.91125</v>
      </c>
      <c r="N21" s="32" t="str">
        <f aca="false">IF(M21&lt;Parameters!$B$6,"Below tolerance",IF(M21&lt;=Parameters!$B$7,"Approximately at tolerance","Above tolerance"))</f>
        <v>Approximately at tolerance</v>
      </c>
    </row>
    <row r="22" customFormat="false" ht="23.85" hidden="false" customHeight="false" outlineLevel="0" collapsed="false">
      <c r="A22" s="46" t="str">
        <f aca="false">Analyse!A23</f>
        <v>S19</v>
      </c>
      <c r="B22" s="7" t="str">
        <f aca="false">Analyse!B23</f>
        <v>Trojanized software update from a clinical or IT software supplier</v>
      </c>
      <c r="C22" s="47" t="n">
        <f aca="false">Analyse!L23</f>
        <v>2235.04464285714</v>
      </c>
      <c r="D22" s="47" t="n">
        <f aca="false">Analyse!M23</f>
        <v>865.178571428571</v>
      </c>
      <c r="E22" s="35" t="n">
        <f aca="false">Inputs!K22</f>
        <v>0.4</v>
      </c>
      <c r="F22" s="35" t="n">
        <f aca="false">Inputs!L22</f>
        <v>0.65</v>
      </c>
      <c r="G22" s="48" t="n">
        <f aca="false">C22*(1-E22*F22)</f>
        <v>1653.93303571429</v>
      </c>
      <c r="H22" s="44" t="n">
        <f aca="false">G22/D22</f>
        <v>1.91166666666667</v>
      </c>
      <c r="I22" s="32" t="str">
        <f aca="false">IF(H22&lt;Parameters!$B$6,"Below tolerance",IF(H22&lt;=Parameters!$B$7,"Approximately at tolerance","Above tolerance"))</f>
        <v>Above tolerance</v>
      </c>
      <c r="J22" s="36" t="n">
        <v>0.5</v>
      </c>
      <c r="K22" s="36" t="n">
        <v>0.7</v>
      </c>
      <c r="L22" s="48" t="n">
        <f aca="false">C22*(1-J22*K22)</f>
        <v>1452.77901785714</v>
      </c>
      <c r="M22" s="44" t="n">
        <f aca="false">L22/D22</f>
        <v>1.67916666666667</v>
      </c>
      <c r="N22" s="32" t="str">
        <f aca="false">IF(M22&lt;Parameters!$B$6,"Below tolerance",IF(M22&lt;=Parameters!$B$7,"Approximately at tolerance","Above tolerance"))</f>
        <v>Above tolerance</v>
      </c>
    </row>
    <row r="23" customFormat="false" ht="23.85" hidden="false" customHeight="false" outlineLevel="0" collapsed="false">
      <c r="A23" s="46" t="str">
        <f aca="false">Analyse!A24</f>
        <v>S20</v>
      </c>
      <c r="B23" s="7" t="str">
        <f aca="false">Analyse!B24</f>
        <v>Takeover of cloud tenant administration through token theft or malicious app consent</v>
      </c>
      <c r="C23" s="47" t="n">
        <f aca="false">Analyse!L24</f>
        <v>3186.0125</v>
      </c>
      <c r="D23" s="47" t="n">
        <f aca="false">Analyse!M24</f>
        <v>1318.35</v>
      </c>
      <c r="E23" s="35" t="n">
        <f aca="false">Inputs!K23</f>
        <v>0.8</v>
      </c>
      <c r="F23" s="35" t="n">
        <f aca="false">Inputs!L23</f>
        <v>0.65</v>
      </c>
      <c r="G23" s="48" t="n">
        <f aca="false">C23*(1-E23*F23)</f>
        <v>1529.286</v>
      </c>
      <c r="H23" s="44" t="n">
        <f aca="false">G23/D23</f>
        <v>1.16</v>
      </c>
      <c r="I23" s="32" t="str">
        <f aca="false">IF(H23&lt;Parameters!$B$6,"Below tolerance",IF(H23&lt;=Parameters!$B$7,"Approximately at tolerance","Above tolerance"))</f>
        <v>Above tolerance</v>
      </c>
      <c r="J23" s="36" t="n">
        <v>0.85</v>
      </c>
      <c r="K23" s="36" t="n">
        <v>0.75</v>
      </c>
      <c r="L23" s="48" t="n">
        <f aca="false">C23*(1-J23*K23)</f>
        <v>1154.92953125</v>
      </c>
      <c r="M23" s="44" t="n">
        <f aca="false">L23/D23</f>
        <v>0.876041666666667</v>
      </c>
      <c r="N23" s="32" t="str">
        <f aca="false">IF(M23&lt;Parameters!$B$6,"Below tolerance",IF(M23&lt;=Parameters!$B$7,"Approximately at tolerance","Above tolerance"))</f>
        <v>Below tolerance</v>
      </c>
    </row>
    <row r="24" customFormat="false" ht="15" hidden="false" customHeight="false" outlineLevel="0" collapsed="false">
      <c r="A24" s="46" t="str">
        <f aca="false">Analyse!A25</f>
        <v>S21</v>
      </c>
      <c r="B24" s="7" t="str">
        <f aca="false">Analyse!B25</f>
        <v>Accidental disclosure of patient information by staff</v>
      </c>
      <c r="C24" s="47" t="n">
        <f aca="false">Analyse!L25</f>
        <v>884</v>
      </c>
      <c r="D24" s="47" t="n">
        <f aca="false">Analyse!M25</f>
        <v>816</v>
      </c>
      <c r="E24" s="35" t="n">
        <f aca="false">Inputs!K24</f>
        <v>0.6</v>
      </c>
      <c r="F24" s="35" t="n">
        <f aca="false">Inputs!L24</f>
        <v>0.55</v>
      </c>
      <c r="G24" s="48" t="n">
        <f aca="false">C24*(1-E24*F24)</f>
        <v>592.28</v>
      </c>
      <c r="H24" s="44" t="n">
        <f aca="false">G24/D24</f>
        <v>0.725833333333333</v>
      </c>
      <c r="I24" s="32" t="str">
        <f aca="false">IF(H24&lt;Parameters!$B$6,"Below tolerance",IF(H24&lt;=Parameters!$B$7,"Approximately at tolerance","Above tolerance"))</f>
        <v>Below tolerance</v>
      </c>
      <c r="J24" s="36" t="n">
        <v>0.7</v>
      </c>
      <c r="K24" s="36" t="n">
        <v>0.6</v>
      </c>
      <c r="L24" s="48" t="n">
        <f aca="false">C24*(1-J24*K24)</f>
        <v>512.72</v>
      </c>
      <c r="M24" s="44" t="n">
        <f aca="false">L24/D24</f>
        <v>0.628333333333333</v>
      </c>
      <c r="N24" s="32" t="str">
        <f aca="false">IF(M24&lt;Parameters!$B$6,"Below tolerance",IF(M24&lt;=Parameters!$B$7,"Approximately at tolerance","Above tolerance"))</f>
        <v>Below tolerance</v>
      </c>
    </row>
    <row r="25" customFormat="false" ht="23.85" hidden="false" customHeight="false" outlineLevel="0" collapsed="false">
      <c r="A25" s="46" t="str">
        <f aca="false">Analyse!A26</f>
        <v>S22</v>
      </c>
      <c r="B25" s="7" t="str">
        <f aca="false">Analyse!B26</f>
        <v>Interception or exposure of teleconsultations and clinical messaging</v>
      </c>
      <c r="C25" s="47" t="n">
        <f aca="false">Analyse!L26</f>
        <v>569.216666666667</v>
      </c>
      <c r="D25" s="47" t="n">
        <f aca="false">Analyse!M26</f>
        <v>401.8</v>
      </c>
      <c r="E25" s="35" t="n">
        <f aca="false">Inputs!K25</f>
        <v>0.75</v>
      </c>
      <c r="F25" s="35" t="n">
        <f aca="false">Inputs!L25</f>
        <v>0.6</v>
      </c>
      <c r="G25" s="48" t="n">
        <f aca="false">C25*(1-E25*F25)</f>
        <v>313.069166666667</v>
      </c>
      <c r="H25" s="44" t="n">
        <f aca="false">G25/D25</f>
        <v>0.779166666666667</v>
      </c>
      <c r="I25" s="32" t="str">
        <f aca="false">IF(H25&lt;Parameters!$B$6,"Below tolerance",IF(H25&lt;=Parameters!$B$7,"Approximately at tolerance","Above tolerance"))</f>
        <v>Below tolerance</v>
      </c>
      <c r="J25" s="36" t="n">
        <v>0.75</v>
      </c>
      <c r="K25" s="36" t="n">
        <v>0.6</v>
      </c>
      <c r="L25" s="48" t="n">
        <f aca="false">C25*(1-J25*K25)</f>
        <v>313.069166666667</v>
      </c>
      <c r="M25" s="44" t="n">
        <f aca="false">L25/D25</f>
        <v>0.779166666666667</v>
      </c>
      <c r="N25" s="32" t="str">
        <f aca="false">IF(M25&lt;Parameters!$B$6,"Below tolerance",IF(M25&lt;=Parameters!$B$7,"Approximately at tolerance","Above tolerance"))</f>
        <v>Below tolerance</v>
      </c>
    </row>
    <row r="26" customFormat="false" ht="23.85" hidden="false" customHeight="false" outlineLevel="0" collapsed="false">
      <c r="A26" s="46" t="str">
        <f aca="false">Analyse!A27</f>
        <v>S23</v>
      </c>
      <c r="B26" s="7" t="str">
        <f aca="false">Analyse!B27</f>
        <v>Brute force or credential stuffing against exposed administrative interfaces</v>
      </c>
      <c r="C26" s="47" t="n">
        <f aca="false">Analyse!L27</f>
        <v>3709.453125</v>
      </c>
      <c r="D26" s="47" t="n">
        <f aca="false">Analyse!M27</f>
        <v>1483.78125</v>
      </c>
      <c r="E26" s="35" t="n">
        <f aca="false">Inputs!K26</f>
        <v>0.85</v>
      </c>
      <c r="F26" s="35" t="n">
        <f aca="false">Inputs!L26</f>
        <v>0.65</v>
      </c>
      <c r="G26" s="48" t="n">
        <f aca="false">C26*(1-E26*F26)</f>
        <v>1659.9802734375</v>
      </c>
      <c r="H26" s="44" t="n">
        <f aca="false">G26/D26</f>
        <v>1.11875</v>
      </c>
      <c r="I26" s="32" t="str">
        <f aca="false">IF(H26&lt;Parameters!$B$6,"Below tolerance",IF(H26&lt;=Parameters!$B$7,"Approximately at tolerance","Above tolerance"))</f>
        <v>Above tolerance</v>
      </c>
      <c r="J26" s="36" t="n">
        <v>0.9</v>
      </c>
      <c r="K26" s="36" t="n">
        <v>0.7</v>
      </c>
      <c r="L26" s="48" t="n">
        <f aca="false">C26*(1-J26*K26)</f>
        <v>1372.49765625</v>
      </c>
      <c r="M26" s="44" t="n">
        <f aca="false">L26/D26</f>
        <v>0.925</v>
      </c>
      <c r="N26" s="32" t="str">
        <f aca="false">IF(M26&lt;Parameters!$B$6,"Below tolerance",IF(M26&lt;=Parameters!$B$7,"Approximately at tolerance","Above tolerance"))</f>
        <v>Approximately at tolerance</v>
      </c>
    </row>
    <row r="27" customFormat="false" ht="23.85" hidden="false" customHeight="false" outlineLevel="0" collapsed="false">
      <c r="A27" s="46" t="str">
        <f aca="false">Analyse!A28</f>
        <v>S24</v>
      </c>
      <c r="B27" s="7" t="str">
        <f aca="false">Analyse!B28</f>
        <v>Malware introduced through patient-supplied imaging media or USB devices</v>
      </c>
      <c r="C27" s="47" t="n">
        <f aca="false">Analyse!L28</f>
        <v>1225</v>
      </c>
      <c r="D27" s="47" t="n">
        <f aca="false">Analyse!M28</f>
        <v>588</v>
      </c>
      <c r="E27" s="35" t="n">
        <f aca="false">Inputs!K27</f>
        <v>0.75</v>
      </c>
      <c r="F27" s="35" t="n">
        <f aca="false">Inputs!L27</f>
        <v>0.65</v>
      </c>
      <c r="G27" s="48" t="n">
        <f aca="false">C27*(1-E27*F27)</f>
        <v>627.8125</v>
      </c>
      <c r="H27" s="44" t="n">
        <f aca="false">G27/D27</f>
        <v>1.06770833333333</v>
      </c>
      <c r="I27" s="32" t="str">
        <f aca="false">IF(H27&lt;Parameters!$B$6,"Below tolerance",IF(H27&lt;=Parameters!$B$7,"Approximately at tolerance","Above tolerance"))</f>
        <v>Approximately at tolerance</v>
      </c>
      <c r="J27" s="36" t="n">
        <v>0.8</v>
      </c>
      <c r="K27" s="36" t="n">
        <v>0.7</v>
      </c>
      <c r="L27" s="48" t="n">
        <f aca="false">C27*(1-J27*K27)</f>
        <v>539</v>
      </c>
      <c r="M27" s="44" t="n">
        <f aca="false">L27/D27</f>
        <v>0.916666666666667</v>
      </c>
      <c r="N27" s="32" t="str">
        <f aca="false">IF(M27&lt;Parameters!$B$6,"Below tolerance",IF(M27&lt;=Parameters!$B$7,"Approximately at tolerance","Above tolerance"))</f>
        <v>Approximately at tolerance</v>
      </c>
    </row>
    <row r="28" customFormat="false" ht="23.85" hidden="false" customHeight="false" outlineLevel="0" collapsed="false">
      <c r="A28" s="46" t="str">
        <f aca="false">Analyse!A29</f>
        <v>S25</v>
      </c>
      <c r="B28" s="7" t="str">
        <f aca="false">Analyse!B29</f>
        <v>Retired devices or medical equipment released with recoverable patient data</v>
      </c>
      <c r="C28" s="47" t="n">
        <f aca="false">Analyse!L29</f>
        <v>436.333333333333</v>
      </c>
      <c r="D28" s="47" t="n">
        <f aca="false">Analyse!M29</f>
        <v>261.8</v>
      </c>
      <c r="E28" s="35" t="n">
        <f aca="false">Inputs!K28</f>
        <v>0.85</v>
      </c>
      <c r="F28" s="35" t="n">
        <f aca="false">Inputs!L28</f>
        <v>0.6</v>
      </c>
      <c r="G28" s="48" t="n">
        <f aca="false">C28*(1-E28*F28)</f>
        <v>213.803333333333</v>
      </c>
      <c r="H28" s="44" t="n">
        <f aca="false">G28/D28</f>
        <v>0.816666666666667</v>
      </c>
      <c r="I28" s="32" t="str">
        <f aca="false">IF(H28&lt;Parameters!$B$6,"Below tolerance",IF(H28&lt;=Parameters!$B$7,"Approximately at tolerance","Above tolerance"))</f>
        <v>Below tolerance</v>
      </c>
      <c r="J28" s="36" t="n">
        <v>0.85</v>
      </c>
      <c r="K28" s="36" t="n">
        <v>0.6</v>
      </c>
      <c r="L28" s="48" t="n">
        <f aca="false">C28*(1-J28*K28)</f>
        <v>213.803333333333</v>
      </c>
      <c r="M28" s="44" t="n">
        <f aca="false">L28/D28</f>
        <v>0.816666666666667</v>
      </c>
      <c r="N28" s="32" t="str">
        <f aca="false">IF(M28&lt;Parameters!$B$6,"Below tolerance",IF(M28&lt;=Parameters!$B$7,"Approximately at tolerance","Above tolerance"))</f>
        <v>Below tolerance</v>
      </c>
    </row>
    <row r="29" customFormat="false" ht="15" hidden="false" customHeight="false" outlineLevel="0" collapsed="false">
      <c r="A29" s="46" t="str">
        <f aca="false">Analyse!A30</f>
        <v>S26</v>
      </c>
      <c r="B29" s="7" t="str">
        <f aca="false">Analyse!B30</f>
        <v>Staff paste patient data into unapproved generative-AI tools</v>
      </c>
      <c r="C29" s="47" t="n">
        <f aca="false">Analyse!L30</f>
        <v>2310</v>
      </c>
      <c r="D29" s="47" t="n">
        <f aca="false">Analyse!M30</f>
        <v>1386</v>
      </c>
      <c r="E29" s="35" t="n">
        <f aca="false">Inputs!K29</f>
        <v>0.65</v>
      </c>
      <c r="F29" s="35" t="n">
        <f aca="false">Inputs!L29</f>
        <v>0.55</v>
      </c>
      <c r="G29" s="48" t="n">
        <f aca="false">C29*(1-E29*F29)</f>
        <v>1484.175</v>
      </c>
      <c r="H29" s="44" t="n">
        <f aca="false">G29/D29</f>
        <v>1.07083333333333</v>
      </c>
      <c r="I29" s="32" t="str">
        <f aca="false">IF(H29&lt;Parameters!$B$6,"Below tolerance",IF(H29&lt;=Parameters!$B$7,"Approximately at tolerance","Above tolerance"))</f>
        <v>Approximately at tolerance</v>
      </c>
      <c r="J29" s="36" t="n">
        <v>0.75</v>
      </c>
      <c r="K29" s="36" t="n">
        <v>0.65</v>
      </c>
      <c r="L29" s="48" t="n">
        <f aca="false">C29*(1-J29*K29)</f>
        <v>1183.875</v>
      </c>
      <c r="M29" s="44" t="n">
        <f aca="false">L29/D29</f>
        <v>0.854166666666667</v>
      </c>
      <c r="N29" s="32" t="str">
        <f aca="false">IF(M29&lt;Parameters!$B$6,"Below tolerance",IF(M29&lt;=Parameters!$B$7,"Approximately at tolerance","Above tolerance"))</f>
        <v>Below tolerance</v>
      </c>
    </row>
    <row r="30" customFormat="false" ht="23.85" hidden="false" customHeight="false" outlineLevel="0" collapsed="false">
      <c r="A30" s="46" t="str">
        <f aca="false">Analyse!A31</f>
        <v>S27</v>
      </c>
      <c r="B30" s="7" t="str">
        <f aca="false">Analyse!B31</f>
        <v>Help-desk impersonation leads to MFA reset and account takeover</v>
      </c>
      <c r="C30" s="47" t="n">
        <f aca="false">Analyse!L31</f>
        <v>3940.1484375</v>
      </c>
      <c r="D30" s="47" t="n">
        <f aca="false">Analyse!M31</f>
        <v>1630.40625</v>
      </c>
      <c r="E30" s="35" t="n">
        <f aca="false">Inputs!K30</f>
        <v>0.8</v>
      </c>
      <c r="F30" s="35" t="n">
        <f aca="false">Inputs!L30</f>
        <v>0.6</v>
      </c>
      <c r="G30" s="48" t="n">
        <f aca="false">C30*(1-E30*F30)</f>
        <v>2048.8771875</v>
      </c>
      <c r="H30" s="44" t="n">
        <f aca="false">G30/D30</f>
        <v>1.25666666666667</v>
      </c>
      <c r="I30" s="32" t="str">
        <f aca="false">IF(H30&lt;Parameters!$B$6,"Below tolerance",IF(H30&lt;=Parameters!$B$7,"Approximately at tolerance","Above tolerance"))</f>
        <v>Above tolerance</v>
      </c>
      <c r="J30" s="36" t="n">
        <v>0.85</v>
      </c>
      <c r="K30" s="36" t="n">
        <v>0.7</v>
      </c>
      <c r="L30" s="48" t="n">
        <f aca="false">C30*(1-J30*K30)</f>
        <v>1595.7601171875</v>
      </c>
      <c r="M30" s="44" t="n">
        <f aca="false">L30/D30</f>
        <v>0.97875</v>
      </c>
      <c r="N30" s="32" t="str">
        <f aca="false">IF(M30&lt;Parameters!$B$6,"Below tolerance",IF(M30&lt;=Parameters!$B$7,"Approximately at tolerance","Above tolerance"))</f>
        <v>Approximately at tolerance</v>
      </c>
    </row>
    <row r="31" customFormat="false" ht="15" hidden="false" customHeight="false" outlineLevel="0" collapsed="false">
      <c r="A31" s="46" t="str">
        <f aca="false">Analyse!A32</f>
        <v>S28</v>
      </c>
      <c r="B31" s="7" t="str">
        <f aca="false">Analyse!B32</f>
        <v>Malicious or departing IT administrator sabotages systems</v>
      </c>
      <c r="C31" s="47" t="n">
        <f aca="false">Analyse!L32</f>
        <v>1685.95714285714</v>
      </c>
      <c r="D31" s="47" t="n">
        <f aca="false">Analyse!M32</f>
        <v>652.628571428572</v>
      </c>
      <c r="E31" s="35" t="n">
        <f aca="false">Inputs!K31</f>
        <v>0.55</v>
      </c>
      <c r="F31" s="35" t="n">
        <f aca="false">Inputs!L31</f>
        <v>0.6</v>
      </c>
      <c r="G31" s="48" t="n">
        <f aca="false">C31*(1-E31*F31)</f>
        <v>1129.59128571429</v>
      </c>
      <c r="H31" s="44" t="n">
        <f aca="false">G31/D31</f>
        <v>1.73083333333333</v>
      </c>
      <c r="I31" s="32" t="str">
        <f aca="false">IF(H31&lt;Parameters!$B$6,"Below tolerance",IF(H31&lt;=Parameters!$B$7,"Approximately at tolerance","Above tolerance"))</f>
        <v>Above tolerance</v>
      </c>
      <c r="J31" s="36" t="n">
        <v>0.65</v>
      </c>
      <c r="K31" s="36" t="n">
        <v>0.7</v>
      </c>
      <c r="L31" s="48" t="n">
        <f aca="false">C31*(1-J31*K31)</f>
        <v>918.846642857143</v>
      </c>
      <c r="M31" s="44" t="n">
        <f aca="false">L31/D31</f>
        <v>1.40791666666667</v>
      </c>
      <c r="N31" s="32" t="str">
        <f aca="false">IF(M31&lt;Parameters!$B$6,"Below tolerance",IF(M31&lt;=Parameters!$B$7,"Approximately at tolerance","Above tolerance"))</f>
        <v>Above tolerance</v>
      </c>
    </row>
    <row r="32" customFormat="false" ht="23.85" hidden="false" customHeight="false" outlineLevel="0" collapsed="false">
      <c r="A32" s="46" t="str">
        <f aca="false">Analyse!A33</f>
        <v>S29</v>
      </c>
      <c r="B32" s="7" t="str">
        <f aca="false">Analyse!B33</f>
        <v>Interception or tampering of unencrypted clinical interface traffic (HL7/DICOM)</v>
      </c>
      <c r="C32" s="47" t="n">
        <f aca="false">Analyse!L33</f>
        <v>1187.875</v>
      </c>
      <c r="D32" s="47" t="n">
        <f aca="false">Analyse!M33</f>
        <v>548.25</v>
      </c>
      <c r="E32" s="35" t="n">
        <f aca="false">Inputs!K32</f>
        <v>0.75</v>
      </c>
      <c r="F32" s="35" t="n">
        <f aca="false">Inputs!L32</f>
        <v>0.7</v>
      </c>
      <c r="G32" s="48" t="n">
        <f aca="false">C32*(1-E32*F32)</f>
        <v>564.240625</v>
      </c>
      <c r="H32" s="44" t="n">
        <f aca="false">G32/D32</f>
        <v>1.02916666666667</v>
      </c>
      <c r="I32" s="32" t="str">
        <f aca="false">IF(H32&lt;Parameters!$B$6,"Below tolerance",IF(H32&lt;=Parameters!$B$7,"Approximately at tolerance","Above tolerance"))</f>
        <v>Approximately at tolerance</v>
      </c>
      <c r="J32" s="36" t="n">
        <v>0.8</v>
      </c>
      <c r="K32" s="36" t="n">
        <v>0.75</v>
      </c>
      <c r="L32" s="48" t="n">
        <f aca="false">C32*(1-J32*K32)</f>
        <v>475.15</v>
      </c>
      <c r="M32" s="44" t="n">
        <f aca="false">L32/D32</f>
        <v>0.866666666666667</v>
      </c>
      <c r="N32" s="32" t="str">
        <f aca="false">IF(M32&lt;Parameters!$B$6,"Below tolerance",IF(M32&lt;=Parameters!$B$7,"Approximately at tolerance","Above tolerance"))</f>
        <v>Below tolerance</v>
      </c>
    </row>
    <row r="33" customFormat="false" ht="15" hidden="false" customHeight="false" outlineLevel="0" collapsed="false">
      <c r="A33" s="46" t="str">
        <f aca="false">Analyse!A34</f>
        <v>S30</v>
      </c>
      <c r="B33" s="7" t="str">
        <f aca="false">Analyse!B34</f>
        <v>Criminals impersonate MediBec to defraud or phish patients</v>
      </c>
      <c r="C33" s="47" t="n">
        <f aca="false">Analyse!L34</f>
        <v>927.208333333333</v>
      </c>
      <c r="D33" s="47" t="n">
        <f aca="false">Analyse!M34</f>
        <v>654.5</v>
      </c>
      <c r="E33" s="35" t="n">
        <f aca="false">Inputs!K33</f>
        <v>0.55</v>
      </c>
      <c r="F33" s="35" t="n">
        <f aca="false">Inputs!L33</f>
        <v>0.6</v>
      </c>
      <c r="G33" s="48" t="n">
        <f aca="false">C33*(1-E33*F33)</f>
        <v>621.229583333333</v>
      </c>
      <c r="H33" s="44" t="n">
        <f aca="false">G33/D33</f>
        <v>0.949166666666667</v>
      </c>
      <c r="I33" s="32" t="str">
        <f aca="false">IF(H33&lt;Parameters!$B$6,"Below tolerance",IF(H33&lt;=Parameters!$B$7,"Approximately at tolerance","Above tolerance"))</f>
        <v>Approximately at tolerance</v>
      </c>
      <c r="J33" s="36" t="n">
        <v>0.55</v>
      </c>
      <c r="K33" s="36" t="n">
        <v>0.6</v>
      </c>
      <c r="L33" s="48" t="n">
        <f aca="false">C33*(1-J33*K33)</f>
        <v>621.229583333333</v>
      </c>
      <c r="M33" s="44" t="n">
        <f aca="false">L33/D33</f>
        <v>0.949166666666667</v>
      </c>
      <c r="N33" s="32" t="str">
        <f aca="false">IF(M33&lt;Parameters!$B$6,"Below tolerance",IF(M33&lt;=Parameters!$B$7,"Approximately at tolerance","Above tolerance"))</f>
        <v>Approximately at tolerance</v>
      </c>
    </row>
    <row r="35" customFormat="false" ht="15" hidden="false" customHeight="false" outlineLevel="0" collapsed="false">
      <c r="B35" s="39" t="s">
        <v>1359</v>
      </c>
    </row>
    <row r="36" customFormat="false" ht="15" hidden="false" customHeight="false" outlineLevel="0" collapsed="false">
      <c r="B36" s="32" t="s">
        <v>1360</v>
      </c>
      <c r="C36" s="49" t="n">
        <f aca="false">COUNTIF(I4:I33,"Above tolerance")</f>
        <v>12</v>
      </c>
      <c r="D36" s="49" t="n">
        <f aca="false">COUNTIF(I4:I33,"Approximately at tolerance")</f>
        <v>11</v>
      </c>
      <c r="E36" s="49" t="n">
        <f aca="false">COUNTIF(I4:I33,"Below tolerance")</f>
        <v>7</v>
      </c>
    </row>
    <row r="37" customFormat="false" ht="15" hidden="false" customHeight="false" outlineLevel="0" collapsed="false">
      <c r="B37" s="32" t="s">
        <v>1361</v>
      </c>
      <c r="C37" s="49" t="n">
        <f aca="false">COUNTIF(N4:N33,"Above tolerance")</f>
        <v>3</v>
      </c>
      <c r="D37" s="49" t="n">
        <f aca="false">COUNTIF(N4:N33,"Approximately at tolerance")</f>
        <v>12</v>
      </c>
      <c r="E37" s="49" t="n">
        <f aca="false">COUNTIF(N4:N33,"Below tolerance")</f>
        <v>15</v>
      </c>
    </row>
    <row r="38" customFormat="false" ht="15" hidden="false" customHeight="false" outlineLevel="0" collapsed="false">
      <c r="B38" s="32" t="s">
        <v>1362</v>
      </c>
      <c r="C38" s="48" t="n">
        <f aca="false">SUM(G4:G33)</f>
        <v>41022.7678939732</v>
      </c>
      <c r="D38" s="48" t="n">
        <f aca="false">SUM(L4:L33)</f>
        <v>34065.7620044643</v>
      </c>
    </row>
  </sheetData>
  <conditionalFormatting sqref="H4:H33">
    <cfRule type="cellIs" priority="2" operator="greaterThan" aboveAverage="0" equalAverage="0" bottom="0" percent="0" rank="0" text="" dxfId="4">
      <formula>Parameters!$B$7</formula>
    </cfRule>
    <cfRule type="cellIs" priority="3" operator="between" aboveAverage="0" equalAverage="0" bottom="0" percent="0" rank="0" text="" dxfId="5">
      <formula>Parameters!$B$6</formula>
      <formula>Parameters!$B$7</formula>
    </cfRule>
    <cfRule type="cellIs" priority="4" operator="lessThan" aboveAverage="0" equalAverage="0" bottom="0" percent="0" rank="0" text="" dxfId="3">
      <formula>Parameters!$B$6</formula>
    </cfRule>
  </conditionalFormatting>
  <conditionalFormatting sqref="M4:M33">
    <cfRule type="cellIs" priority="5" operator="greaterThan" aboveAverage="0" equalAverage="0" bottom="0" percent="0" rank="0" text="" dxfId="4">
      <formula>Parameters!$B$7</formula>
    </cfRule>
    <cfRule type="cellIs" priority="6" operator="between" aboveAverage="0" equalAverage="0" bottom="0" percent="0" rank="0" text="" dxfId="5">
      <formula>Parameters!$B$6</formula>
      <formula>Parameters!$B$7</formula>
    </cfRule>
    <cfRule type="cellIs" priority="7" operator="lessThan" aboveAverage="0" equalAverage="0" bottom="0" percent="0" rank="0" text="" dxfId="3">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2026-10-23T16:25:14Z</dcterms:created>
  <dc:creator>openpyxl</dc:creator>
  <dc:description/>
  <dc:language>en-US</dc:language>
  <cp:lastModifiedBy/>
  <dcterms:modified xsi:type="dcterms:W3CDTF">2026-10-23T16:25:16Z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